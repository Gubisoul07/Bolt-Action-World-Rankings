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"/>
    </mc:Choice>
  </mc:AlternateContent>
  <xr:revisionPtr revIDLastSave="17058" documentId="13_ncr:1_{D3B31100-9340-4736-A9C4-62D7B6BA6B54}" xr6:coauthVersionLast="47" xr6:coauthVersionMax="47" xr10:uidLastSave="{44D7AD8E-4538-4AAC-B448-B30C29B9D23C}"/>
  <bookViews>
    <workbookView xWindow="0" yWindow="0" windowWidth="28800" windowHeight="12225" tabRatio="707" firstSheet="12" activeTab="2" xr2:uid="{00000000-000D-0000-FFFF-FFFF00000000}"/>
  </bookViews>
  <sheets>
    <sheet name="Score sheet" sheetId="50" r:id="rId1"/>
    <sheet name="Army TAP list" sheetId="87" r:id="rId2"/>
    <sheet name="Round 1" sheetId="76" r:id="rId3"/>
    <sheet name="Round 2" sheetId="77" r:id="rId4"/>
    <sheet name="Round 3" sheetId="80" r:id="rId5"/>
    <sheet name="Round 4" sheetId="81" r:id="rId6"/>
    <sheet name="Round 5" sheetId="83" r:id="rId7"/>
    <sheet name="Round 6" sheetId="84" r:id="rId8"/>
    <sheet name="Overview 2024" sheetId="4" r:id="rId9"/>
    <sheet name="Group finish" sheetId="89" r:id="rId10"/>
    <sheet name="WOW 2025" sheetId="85" r:id="rId11"/>
    <sheet name="Final finishing 2025" sheetId="90" r:id="rId12"/>
    <sheet name="Overview 2024 results" sheetId="86" r:id="rId13"/>
    <sheet name="2023 and ranking" sheetId="70" r:id="rId14"/>
    <sheet name="Missions" sheetId="75" r:id="rId15"/>
    <sheet name="Tables" sheetId="66" r:id="rId16"/>
  </sheets>
  <definedNames>
    <definedName name="_xlnm.Print_Area" localSheetId="15">Tables!$F$9:$Y$51</definedName>
    <definedName name="_xlnm.Print_Area" localSheetId="0">'Score sheet'!$A$1:$F$52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84" l="1"/>
  <c r="K20" i="89"/>
  <c r="K18" i="89"/>
  <c r="K19" i="89"/>
  <c r="K17" i="89"/>
  <c r="D8" i="89"/>
  <c r="D7" i="89"/>
  <c r="D6" i="89"/>
  <c r="D5" i="89"/>
  <c r="X12" i="89"/>
  <c r="X13" i="89"/>
  <c r="X14" i="89"/>
  <c r="X11" i="89"/>
  <c r="L13" i="84"/>
  <c r="N13" i="84"/>
  <c r="L19" i="83"/>
  <c r="B13" i="83"/>
  <c r="D13" i="83"/>
  <c r="AA17" i="80"/>
  <c r="N13" i="83"/>
  <c r="N19" i="83"/>
  <c r="AF19" i="84"/>
  <c r="AH13" i="84"/>
  <c r="V19" i="84"/>
  <c r="X13" i="84"/>
  <c r="B19" i="84"/>
  <c r="D13" i="84"/>
  <c r="AN24" i="84"/>
  <c r="AM24" i="84"/>
  <c r="AL24" i="84"/>
  <c r="AK24" i="84"/>
  <c r="AD24" i="84"/>
  <c r="AC24" i="84"/>
  <c r="AB24" i="84"/>
  <c r="AA24" i="84"/>
  <c r="T24" i="84"/>
  <c r="S24" i="84"/>
  <c r="R24" i="84"/>
  <c r="Q24" i="84"/>
  <c r="J24" i="84"/>
  <c r="I24" i="84"/>
  <c r="H24" i="84"/>
  <c r="G24" i="84"/>
  <c r="AH19" i="84"/>
  <c r="X19" i="84"/>
  <c r="D19" i="84"/>
  <c r="AN18" i="84"/>
  <c r="AM18" i="84"/>
  <c r="AL18" i="84"/>
  <c r="AK18" i="84"/>
  <c r="AD18" i="84"/>
  <c r="AC18" i="84"/>
  <c r="AB18" i="84"/>
  <c r="AA18" i="84"/>
  <c r="T18" i="84"/>
  <c r="S18" i="84"/>
  <c r="R18" i="84"/>
  <c r="Q18" i="84"/>
  <c r="J18" i="84"/>
  <c r="I18" i="84"/>
  <c r="H18" i="84"/>
  <c r="G18" i="84"/>
  <c r="AF13" i="84"/>
  <c r="V13" i="84"/>
  <c r="B13" i="84"/>
  <c r="AH19" i="83"/>
  <c r="AH13" i="83"/>
  <c r="X19" i="83"/>
  <c r="X13" i="83"/>
  <c r="D19" i="83"/>
  <c r="AN24" i="83"/>
  <c r="AM24" i="83"/>
  <c r="AL24" i="83"/>
  <c r="AK24" i="83"/>
  <c r="AD24" i="83"/>
  <c r="AC24" i="83"/>
  <c r="AB24" i="83"/>
  <c r="AA24" i="83"/>
  <c r="T24" i="83"/>
  <c r="S24" i="83"/>
  <c r="R24" i="83"/>
  <c r="Q24" i="83"/>
  <c r="J24" i="83"/>
  <c r="I24" i="83"/>
  <c r="H24" i="83"/>
  <c r="G24" i="83"/>
  <c r="AF19" i="83"/>
  <c r="V19" i="83"/>
  <c r="B19" i="83"/>
  <c r="AN18" i="83"/>
  <c r="AM18" i="83"/>
  <c r="AL18" i="83"/>
  <c r="AK18" i="83"/>
  <c r="AD18" i="83"/>
  <c r="AC18" i="83"/>
  <c r="AB18" i="83"/>
  <c r="AA18" i="83"/>
  <c r="T18" i="83"/>
  <c r="S18" i="83"/>
  <c r="R18" i="83"/>
  <c r="Q18" i="83"/>
  <c r="J18" i="83"/>
  <c r="I18" i="83"/>
  <c r="H18" i="83"/>
  <c r="G18" i="83"/>
  <c r="AF13" i="83"/>
  <c r="V13" i="83"/>
  <c r="L13" i="83"/>
  <c r="AN24" i="81"/>
  <c r="AM24" i="81"/>
  <c r="AL24" i="81"/>
  <c r="AK24" i="81"/>
  <c r="AD24" i="81"/>
  <c r="AC24" i="81"/>
  <c r="AB24" i="81"/>
  <c r="AA24" i="81"/>
  <c r="T24" i="81"/>
  <c r="S24" i="81"/>
  <c r="R24" i="81"/>
  <c r="Q24" i="81"/>
  <c r="J24" i="81"/>
  <c r="I24" i="81"/>
  <c r="H24" i="81"/>
  <c r="G24" i="81"/>
  <c r="AH19" i="81"/>
  <c r="AF19" i="81"/>
  <c r="X19" i="81"/>
  <c r="V19" i="81"/>
  <c r="N19" i="81"/>
  <c r="L19" i="81"/>
  <c r="D19" i="81"/>
  <c r="B19" i="81"/>
  <c r="AN18" i="81"/>
  <c r="AM18" i="81"/>
  <c r="AL18" i="81"/>
  <c r="AK18" i="81"/>
  <c r="AD18" i="81"/>
  <c r="AC18" i="81"/>
  <c r="AB18" i="81"/>
  <c r="AA18" i="81"/>
  <c r="T18" i="81"/>
  <c r="S18" i="81"/>
  <c r="R18" i="81"/>
  <c r="Q18" i="81"/>
  <c r="J18" i="81"/>
  <c r="I18" i="81"/>
  <c r="H18" i="81"/>
  <c r="G18" i="81"/>
  <c r="AH13" i="81"/>
  <c r="AF13" i="81"/>
  <c r="X13" i="81"/>
  <c r="V13" i="81"/>
  <c r="N13" i="81"/>
  <c r="L13" i="81"/>
  <c r="D13" i="81"/>
  <c r="B13" i="81"/>
  <c r="L12" i="77"/>
  <c r="AH18" i="80"/>
  <c r="AF18" i="80"/>
  <c r="AH12" i="80"/>
  <c r="V18" i="80"/>
  <c r="X12" i="80"/>
  <c r="L18" i="80"/>
  <c r="N12" i="80"/>
  <c r="L12" i="80"/>
  <c r="B18" i="80"/>
  <c r="D12" i="80"/>
  <c r="AN23" i="80"/>
  <c r="AM23" i="80"/>
  <c r="AL23" i="80"/>
  <c r="AK23" i="80"/>
  <c r="AD23" i="80"/>
  <c r="AC23" i="80"/>
  <c r="AB23" i="80"/>
  <c r="AA23" i="80"/>
  <c r="T23" i="80"/>
  <c r="S23" i="80"/>
  <c r="R23" i="80"/>
  <c r="Q23" i="80"/>
  <c r="J23" i="80"/>
  <c r="I23" i="80"/>
  <c r="H23" i="80"/>
  <c r="G23" i="80"/>
  <c r="X18" i="80"/>
  <c r="N18" i="80"/>
  <c r="D18" i="80"/>
  <c r="AN17" i="80"/>
  <c r="AM17" i="80"/>
  <c r="AL17" i="80"/>
  <c r="AK17" i="80"/>
  <c r="AD17" i="80"/>
  <c r="AC17" i="80"/>
  <c r="AB17" i="80"/>
  <c r="T17" i="80"/>
  <c r="S17" i="80"/>
  <c r="R17" i="80"/>
  <c r="Q17" i="80"/>
  <c r="J17" i="80"/>
  <c r="I17" i="80"/>
  <c r="H17" i="80"/>
  <c r="G17" i="80"/>
  <c r="AF12" i="80"/>
  <c r="V12" i="80"/>
  <c r="B12" i="80"/>
  <c r="B12" i="77"/>
  <c r="B18" i="77"/>
  <c r="AB8" i="76"/>
  <c r="L18" i="77"/>
  <c r="AN23" i="77"/>
  <c r="AM23" i="77"/>
  <c r="AL23" i="77"/>
  <c r="AK23" i="77"/>
  <c r="AD23" i="77"/>
  <c r="AC23" i="77"/>
  <c r="AB23" i="77"/>
  <c r="AA23" i="77"/>
  <c r="T23" i="77"/>
  <c r="S23" i="77"/>
  <c r="R23" i="77"/>
  <c r="Q23" i="77"/>
  <c r="J23" i="77"/>
  <c r="I23" i="77"/>
  <c r="H23" i="77"/>
  <c r="G23" i="77"/>
  <c r="AF18" i="77"/>
  <c r="V18" i="77"/>
  <c r="AN17" i="77"/>
  <c r="AM17" i="77"/>
  <c r="AL17" i="77"/>
  <c r="AK17" i="77"/>
  <c r="AD17" i="77"/>
  <c r="AC17" i="77"/>
  <c r="AB17" i="77"/>
  <c r="AA17" i="77"/>
  <c r="T17" i="77"/>
  <c r="S17" i="77"/>
  <c r="R17" i="77"/>
  <c r="Q17" i="77"/>
  <c r="J17" i="77"/>
  <c r="I17" i="77"/>
  <c r="H17" i="77"/>
  <c r="G17" i="77"/>
  <c r="AF12" i="77"/>
  <c r="V12" i="77"/>
  <c r="B9" i="76"/>
  <c r="AN8" i="76"/>
  <c r="AM8" i="76"/>
  <c r="AL8" i="76"/>
  <c r="AK8" i="76"/>
  <c r="AN14" i="76"/>
  <c r="AM14" i="76"/>
  <c r="AL14" i="76"/>
  <c r="AK14" i="76"/>
  <c r="AD14" i="76"/>
  <c r="AC14" i="76"/>
  <c r="AB14" i="76"/>
  <c r="AA14" i="76"/>
  <c r="T14" i="76"/>
  <c r="S14" i="76"/>
  <c r="R14" i="76"/>
  <c r="Q14" i="76"/>
  <c r="J14" i="76"/>
  <c r="I14" i="76"/>
  <c r="H14" i="76"/>
  <c r="G14" i="76"/>
  <c r="AF9" i="76"/>
  <c r="V9" i="76"/>
  <c r="L9" i="76"/>
  <c r="AD8" i="76"/>
  <c r="AC8" i="76"/>
  <c r="AA8" i="76"/>
  <c r="T8" i="76"/>
  <c r="S8" i="76"/>
  <c r="R8" i="76"/>
  <c r="Q8" i="76"/>
  <c r="J8" i="76"/>
  <c r="I8" i="76"/>
  <c r="H8" i="76"/>
  <c r="G8" i="76"/>
  <c r="AF3" i="76"/>
  <c r="V3" i="76"/>
  <c r="L3" i="76"/>
  <c r="B3" i="76"/>
</calcChain>
</file>

<file path=xl/sharedStrings.xml><?xml version="1.0" encoding="utf-8"?>
<sst xmlns="http://schemas.openxmlformats.org/spreadsheetml/2006/main" count="2672" uniqueCount="595">
  <si>
    <t xml:space="preserve">Round </t>
  </si>
  <si>
    <t>Table</t>
  </si>
  <si>
    <t>Player name and team</t>
  </si>
  <si>
    <t>WON</t>
  </si>
  <si>
    <t>DRAWN</t>
  </si>
  <si>
    <t>LOST</t>
  </si>
  <si>
    <t>SECONDARY</t>
  </si>
  <si>
    <t>Enemy Dice killed</t>
  </si>
  <si>
    <t>Game turn finished on</t>
  </si>
  <si>
    <t>Who won the roll to start and what did they do?</t>
  </si>
  <si>
    <t xml:space="preserve"> </t>
  </si>
  <si>
    <t>Book due?</t>
  </si>
  <si>
    <t>TAP</t>
  </si>
  <si>
    <t>On dropbox</t>
  </si>
  <si>
    <t>Phil check</t>
  </si>
  <si>
    <t>Summary</t>
  </si>
  <si>
    <t>USA</t>
  </si>
  <si>
    <t>Released</t>
  </si>
  <si>
    <t>Completed</t>
  </si>
  <si>
    <t>Yes</t>
  </si>
  <si>
    <t>Special rules adjusted, ver minor changes</t>
  </si>
  <si>
    <t>Germany</t>
  </si>
  <si>
    <t>GB</t>
  </si>
  <si>
    <t>August</t>
  </si>
  <si>
    <t>No</t>
  </si>
  <si>
    <t>Do later</t>
  </si>
  <si>
    <t>USSR</t>
  </si>
  <si>
    <t>October</t>
  </si>
  <si>
    <t>Adjusted from WOW 2 pack</t>
  </si>
  <si>
    <t>Japan</t>
  </si>
  <si>
    <t>Use current TAP</t>
  </si>
  <si>
    <t>Italy</t>
  </si>
  <si>
    <t>New special rules, 14 units added</t>
  </si>
  <si>
    <t>Belgium</t>
  </si>
  <si>
    <t>New Special rules, Chasseurs added</t>
  </si>
  <si>
    <t>Bulgaria</t>
  </si>
  <si>
    <t>Special rules changed, 10 new units added</t>
  </si>
  <si>
    <t>Finland</t>
  </si>
  <si>
    <t>No changes to PDF</t>
  </si>
  <si>
    <t>France</t>
  </si>
  <si>
    <t>Changes to special rules, 9 units added</t>
  </si>
  <si>
    <t>Greece</t>
  </si>
  <si>
    <t xml:space="preserve">Major changes </t>
  </si>
  <si>
    <t>Hungary</t>
  </si>
  <si>
    <t>Changed special rules to Case blue, added 23 units</t>
  </si>
  <si>
    <t>Norway</t>
  </si>
  <si>
    <t>Minor changes but overhaul of special rules</t>
  </si>
  <si>
    <t>Partisans</t>
  </si>
  <si>
    <t>Unchanged</t>
  </si>
  <si>
    <t>Poland</t>
  </si>
  <si>
    <t>Romania</t>
  </si>
  <si>
    <t>New special rules adds 21 units</t>
  </si>
  <si>
    <t>Netherlands</t>
  </si>
  <si>
    <t>Felix M</t>
  </si>
  <si>
    <t>China</t>
  </si>
  <si>
    <t>Andrew E</t>
  </si>
  <si>
    <t>Denmark</t>
  </si>
  <si>
    <t>Danish pack</t>
  </si>
  <si>
    <t>Jesper Mogensen</t>
  </si>
  <si>
    <t>Group A</t>
  </si>
  <si>
    <t>Group B</t>
  </si>
  <si>
    <t>Group C</t>
  </si>
  <si>
    <t>Group D</t>
  </si>
  <si>
    <t>Army</t>
  </si>
  <si>
    <t>Roll off winner and choice</t>
  </si>
  <si>
    <t>Points</t>
  </si>
  <si>
    <t>secondary</t>
  </si>
  <si>
    <t>N Ireland</t>
  </si>
  <si>
    <t>Barbarians</t>
  </si>
  <si>
    <t>Australia</t>
  </si>
  <si>
    <t>Michal</t>
  </si>
  <si>
    <t>Ger</t>
  </si>
  <si>
    <t>Pim</t>
  </si>
  <si>
    <t>Sov</t>
  </si>
  <si>
    <t>Torben</t>
  </si>
  <si>
    <t>Matt</t>
  </si>
  <si>
    <t>ger</t>
  </si>
  <si>
    <t>Thomas</t>
  </si>
  <si>
    <t xml:space="preserve">Jan </t>
  </si>
  <si>
    <t>Pol</t>
  </si>
  <si>
    <t>Aquiles</t>
  </si>
  <si>
    <t>Harry</t>
  </si>
  <si>
    <t>Krzysztof</t>
  </si>
  <si>
    <t>Jap</t>
  </si>
  <si>
    <t>Alan</t>
  </si>
  <si>
    <t>Michael F</t>
  </si>
  <si>
    <t>Adam Hogg</t>
  </si>
  <si>
    <t>sov</t>
  </si>
  <si>
    <t>Adam</t>
  </si>
  <si>
    <t xml:space="preserve">M </t>
  </si>
  <si>
    <t>Jano</t>
  </si>
  <si>
    <t>Kenny</t>
  </si>
  <si>
    <t>Marek</t>
  </si>
  <si>
    <t>Danny</t>
  </si>
  <si>
    <t>Bo</t>
  </si>
  <si>
    <t>Hun</t>
  </si>
  <si>
    <t>Ed</t>
  </si>
  <si>
    <t>Martin Stork</t>
  </si>
  <si>
    <t>Martin Knowles</t>
  </si>
  <si>
    <t>Raziel</t>
  </si>
  <si>
    <t>Mike</t>
  </si>
  <si>
    <t>bonus</t>
  </si>
  <si>
    <t>Mixed Nuts</t>
  </si>
  <si>
    <t>Spain II</t>
  </si>
  <si>
    <t>Pirates</t>
  </si>
  <si>
    <t>Germany 2</t>
  </si>
  <si>
    <t>Michael Carrick</t>
  </si>
  <si>
    <t>David Hesselfeld</t>
  </si>
  <si>
    <t>Michael</t>
  </si>
  <si>
    <t>Johnny Ferg</t>
  </si>
  <si>
    <t>Nacho</t>
  </si>
  <si>
    <t>Phil Brewer</t>
  </si>
  <si>
    <t>NIck</t>
  </si>
  <si>
    <t>Paul Wickens</t>
  </si>
  <si>
    <t>Fabian</t>
  </si>
  <si>
    <t>Paul</t>
  </si>
  <si>
    <t>Ben</t>
  </si>
  <si>
    <t>Bjarke</t>
  </si>
  <si>
    <t>Alistair</t>
  </si>
  <si>
    <t>Granicus</t>
  </si>
  <si>
    <t>Ita</t>
  </si>
  <si>
    <t>Gerwyn</t>
  </si>
  <si>
    <t>Chris Davies</t>
  </si>
  <si>
    <t>Dominic</t>
  </si>
  <si>
    <t>gb</t>
  </si>
  <si>
    <t>Jonny Curran</t>
  </si>
  <si>
    <t>Michael C</t>
  </si>
  <si>
    <t>Daniel</t>
  </si>
  <si>
    <t>Manuel</t>
  </si>
  <si>
    <t>Graham</t>
  </si>
  <si>
    <t>Charley</t>
  </si>
  <si>
    <t>Gary Morgan</t>
  </si>
  <si>
    <t>Sebastian</t>
  </si>
  <si>
    <t>Ranking</t>
  </si>
  <si>
    <t>Cumulative</t>
  </si>
  <si>
    <t>Poland Black Brigade</t>
  </si>
  <si>
    <t>England</t>
  </si>
  <si>
    <t>A</t>
  </si>
  <si>
    <t xml:space="preserve">B </t>
  </si>
  <si>
    <t>C</t>
  </si>
  <si>
    <t>D</t>
  </si>
  <si>
    <t>Spain</t>
  </si>
  <si>
    <t>Scotland</t>
  </si>
  <si>
    <t>British Lions</t>
  </si>
  <si>
    <t>Wales</t>
  </si>
  <si>
    <t>Mixed nuts</t>
  </si>
  <si>
    <t>Spain 2</t>
  </si>
  <si>
    <t>South coast pirates (Eng 2)</t>
  </si>
  <si>
    <t>AC</t>
  </si>
  <si>
    <t>Round 2</t>
  </si>
  <si>
    <t>Tables</t>
  </si>
  <si>
    <t>BD</t>
  </si>
  <si>
    <t>Germany II</t>
  </si>
  <si>
    <t>jap</t>
  </si>
  <si>
    <t>pol</t>
  </si>
  <si>
    <t>usa</t>
  </si>
  <si>
    <t>Jonnny C</t>
  </si>
  <si>
    <t>torben</t>
  </si>
  <si>
    <t>granicus</t>
  </si>
  <si>
    <t>ita</t>
  </si>
  <si>
    <t>Martin storch</t>
  </si>
  <si>
    <t>charley</t>
  </si>
  <si>
    <t>Mike C</t>
  </si>
  <si>
    <t>hun</t>
  </si>
  <si>
    <t>michael f</t>
  </si>
  <si>
    <t>nacho</t>
  </si>
  <si>
    <t xml:space="preserve">m </t>
  </si>
  <si>
    <t>nick</t>
  </si>
  <si>
    <t>DOminic</t>
  </si>
  <si>
    <t>Babas</t>
  </si>
  <si>
    <t>Jan</t>
  </si>
  <si>
    <t>Gary M</t>
  </si>
  <si>
    <t>David H</t>
  </si>
  <si>
    <t>Martin K</t>
  </si>
  <si>
    <t>Paul W</t>
  </si>
  <si>
    <t>Mike G</t>
  </si>
  <si>
    <t>Phil</t>
  </si>
  <si>
    <t>phil</t>
  </si>
  <si>
    <t>Chris D</t>
  </si>
  <si>
    <t>Round 3</t>
  </si>
  <si>
    <t>Jonny</t>
  </si>
  <si>
    <t>Krysztof</t>
  </si>
  <si>
    <t>M</t>
  </si>
  <si>
    <t>Johny F</t>
  </si>
  <si>
    <t>Martin Si</t>
  </si>
  <si>
    <t>Nick Murray</t>
  </si>
  <si>
    <t>Pole</t>
  </si>
  <si>
    <t>Charlie</t>
  </si>
  <si>
    <t>Graham T</t>
  </si>
  <si>
    <t xml:space="preserve">Jonny </t>
  </si>
  <si>
    <t>Krystof</t>
  </si>
  <si>
    <t>Matthew</t>
  </si>
  <si>
    <t>Alastair</t>
  </si>
  <si>
    <t>GOssy</t>
  </si>
  <si>
    <t>Nick</t>
  </si>
  <si>
    <t>Johny f</t>
  </si>
  <si>
    <t>Mike F</t>
  </si>
  <si>
    <t>Ed C</t>
  </si>
  <si>
    <t>7.13.19</t>
  </si>
  <si>
    <t>1.13.19</t>
  </si>
  <si>
    <t>1.7.22</t>
  </si>
  <si>
    <t>4.7.16</t>
  </si>
  <si>
    <t>4.10.22</t>
  </si>
  <si>
    <t>Scotland Saltire</t>
  </si>
  <si>
    <t>4.10.13</t>
  </si>
  <si>
    <t>7.16.22</t>
  </si>
  <si>
    <t>1.16.22</t>
  </si>
  <si>
    <t>4.7.19</t>
  </si>
  <si>
    <t>Denmark II</t>
  </si>
  <si>
    <t>1.7.13</t>
  </si>
  <si>
    <t>10.16.19</t>
  </si>
  <si>
    <t>4.13.22</t>
  </si>
  <si>
    <t>1.10.19</t>
  </si>
  <si>
    <t>10.13.22</t>
  </si>
  <si>
    <t>4.16.19</t>
  </si>
  <si>
    <t>1.10.16</t>
  </si>
  <si>
    <t>Round 1</t>
  </si>
  <si>
    <t>V</t>
  </si>
  <si>
    <t>David</t>
  </si>
  <si>
    <t>Gossy</t>
  </si>
  <si>
    <t>UK</t>
  </si>
  <si>
    <t>THomas</t>
  </si>
  <si>
    <t>W</t>
  </si>
  <si>
    <t>N</t>
  </si>
  <si>
    <t>Martin S</t>
  </si>
  <si>
    <t>ITA</t>
  </si>
  <si>
    <t>X</t>
  </si>
  <si>
    <t>O</t>
  </si>
  <si>
    <t xml:space="preserve">G </t>
  </si>
  <si>
    <t>P</t>
  </si>
  <si>
    <t>Seb</t>
  </si>
  <si>
    <t>H</t>
  </si>
  <si>
    <t>E</t>
  </si>
  <si>
    <t>Q</t>
  </si>
  <si>
    <t>Dom</t>
  </si>
  <si>
    <t>I</t>
  </si>
  <si>
    <t>F</t>
  </si>
  <si>
    <t>SOv</t>
  </si>
  <si>
    <t>R</t>
  </si>
  <si>
    <t>CHarley</t>
  </si>
  <si>
    <t>Fab</t>
  </si>
  <si>
    <t>TOrben</t>
  </si>
  <si>
    <t>Jonny F</t>
  </si>
  <si>
    <t>Krystozf</t>
  </si>
  <si>
    <t>Chris</t>
  </si>
  <si>
    <t>Granivas</t>
  </si>
  <si>
    <t>Gb</t>
  </si>
  <si>
    <t>SSWG PRESENTS  World Open War - Southend on Sea Wargames Group Essex</t>
  </si>
  <si>
    <t>https://onedrive.live.com/?id=5AFE89A2C195D898!sfa719d4ea39b43a0a7061f176e087e3e&amp;resid=5AFE89A2C195D898!sfa719d4ea39b43a0a7061f176e087e3e&amp;cid=5afe89a2c195d898&amp;ithint=folder&amp;redeem=aHR0cHM6Ly8xZHJ2Lm1zL2YvYy81YWZlODlhMmMxOTVkODk4L0VrNmRjZnFibzZCRHB3WWZGMjRJZmo0QmFqTUNMRHFCR2gtUkVNRFMtTGxUdmc_ZT1velRRSksmZmJjbGlkPUl3WTJ4amF3RlRyRmhsZUhSdUEyRmxiUUl4TUFBQkhYWkFkMWNlSF9najYwTXk5THFlUDVSSUtqcWlvemx4cHlIVlJUM29RN3NxZ2tsbnRSTmpKTHVlblFfYWVtX25Tdmdnb2tlTDQ5d1E2YXZ3VzJwSlE&amp;migratedtospo=true</t>
  </si>
  <si>
    <t>Team</t>
  </si>
  <si>
    <t>Members</t>
  </si>
  <si>
    <t>Paid</t>
  </si>
  <si>
    <t>Rankings</t>
  </si>
  <si>
    <t>Phil Mason</t>
  </si>
  <si>
    <t>jaxx0316@hotmail.com</t>
  </si>
  <si>
    <t>Alistair Unicomb</t>
  </si>
  <si>
    <t>Tercio Viejo</t>
  </si>
  <si>
    <t>Aquilles</t>
  </si>
  <si>
    <t>aquiles_hispano@hotmail.com</t>
  </si>
  <si>
    <t>John Ferguson</t>
  </si>
  <si>
    <t>Team England</t>
  </si>
  <si>
    <t>jonnycurran90@gmail.com</t>
  </si>
  <si>
    <t>Team Wales</t>
  </si>
  <si>
    <t>pwickens2003@yahoo.co.uk</t>
  </si>
  <si>
    <t>Aquilles (Fernando Moreno)</t>
  </si>
  <si>
    <t>Team Cymru</t>
  </si>
  <si>
    <t>nick@brayle.com</t>
  </si>
  <si>
    <t>Carlos Moros</t>
  </si>
  <si>
    <t>Krzysztof Zieliński</t>
  </si>
  <si>
    <t>galadrion1@gmail.com</t>
  </si>
  <si>
    <t>Team Deutschland</t>
  </si>
  <si>
    <t>Manuel Peligro</t>
  </si>
  <si>
    <t>manuel.jimenez23@gmail.com</t>
  </si>
  <si>
    <t>USA Swans</t>
  </si>
  <si>
    <t>Bryan Swanson</t>
  </si>
  <si>
    <t>1800bryan@live.com</t>
  </si>
  <si>
    <t>Denmark Vikings</t>
  </si>
  <si>
    <t>Bo Mortenson</t>
  </si>
  <si>
    <t>bom@rhs.dk</t>
  </si>
  <si>
    <t>Phil Crowcroft</t>
  </si>
  <si>
    <t>Ed Cooke</t>
  </si>
  <si>
    <t>edward.cooke@hotmail.co.uk</t>
  </si>
  <si>
    <t>Rich C</t>
  </si>
  <si>
    <t>Pim Boh</t>
  </si>
  <si>
    <t>boh1978@gmail.com</t>
  </si>
  <si>
    <t>South Coast Pirates</t>
  </si>
  <si>
    <t>Ben Andrews</t>
  </si>
  <si>
    <t>benjamin.m.r.andrews@gmail.com</t>
  </si>
  <si>
    <t>Surrey</t>
  </si>
  <si>
    <t>East Coast Wargaming</t>
  </si>
  <si>
    <t>Graham Thomson</t>
  </si>
  <si>
    <t>gnthomson@yahoo.com</t>
  </si>
  <si>
    <t>Tercio Nuevo</t>
  </si>
  <si>
    <t>facebook@gvsoft.com</t>
  </si>
  <si>
    <t>Chris Davis</t>
  </si>
  <si>
    <t>Michael Christiansen</t>
  </si>
  <si>
    <t>christiansen_michael@yahoo.com</t>
  </si>
  <si>
    <t>Jan Pederson</t>
  </si>
  <si>
    <t>powwowofdisorder@hotmail.com</t>
  </si>
  <si>
    <t>Cymru</t>
  </si>
  <si>
    <t>Rhys Beaven</t>
  </si>
  <si>
    <t>Referees</t>
  </si>
  <si>
    <t>Reserves</t>
  </si>
  <si>
    <t>Phil Parker</t>
  </si>
  <si>
    <t>German</t>
  </si>
  <si>
    <t>Felix Meinhard</t>
  </si>
  <si>
    <t>Josh Carpenter</t>
  </si>
  <si>
    <t>Paul Jones</t>
  </si>
  <si>
    <t>Gary Betts</t>
  </si>
  <si>
    <t>Colin Betts</t>
  </si>
  <si>
    <t>Me</t>
  </si>
  <si>
    <t>Simon Royston</t>
  </si>
  <si>
    <t>Ryan Waggan</t>
  </si>
  <si>
    <t>Andrew Mills</t>
  </si>
  <si>
    <t>Marek zielinski</t>
  </si>
  <si>
    <t xml:space="preserve">Jedrzej </t>
  </si>
  <si>
    <t>Manuel "Peligro" JC</t>
  </si>
  <si>
    <t>Thomas  "Iron heart" Wordemann</t>
  </si>
  <si>
    <t>Martin Seibel</t>
  </si>
  <si>
    <t>P-e Martin</t>
  </si>
  <si>
    <t>Colton Swanson</t>
  </si>
  <si>
    <t>John Ross</t>
  </si>
  <si>
    <t>Denmark MBM Vikings</t>
  </si>
  <si>
    <t>Bo Mortensen</t>
  </si>
  <si>
    <t>Michael Fiege</t>
  </si>
  <si>
    <t>Kristian Lyngvald</t>
  </si>
  <si>
    <t>Andy Torrens</t>
  </si>
  <si>
    <t>Massimiliano Luisi</t>
  </si>
  <si>
    <t>Torben davisen</t>
  </si>
  <si>
    <t>Alan Wells</t>
  </si>
  <si>
    <t>Charley Murphy</t>
  </si>
  <si>
    <t>Australia East</t>
  </si>
  <si>
    <t>Aaron Russell</t>
  </si>
  <si>
    <t>Australia West G</t>
  </si>
  <si>
    <t xml:space="preserve">Phil Brewer </t>
  </si>
  <si>
    <t>Gorcin Kurejsepi</t>
  </si>
  <si>
    <t>Gerwyn Michael</t>
  </si>
  <si>
    <t>Germany 3</t>
  </si>
  <si>
    <t>Tercio neuvo</t>
  </si>
  <si>
    <t>Timoteo Orsin</t>
  </si>
  <si>
    <t>Euro Barbarians</t>
  </si>
  <si>
    <t>Matty Phipps</t>
  </si>
  <si>
    <t>Jan Pedersen</t>
  </si>
  <si>
    <t>August Tadeo</t>
  </si>
  <si>
    <t>Locked in</t>
  </si>
  <si>
    <t>Seconds</t>
  </si>
  <si>
    <t>Invite</t>
  </si>
  <si>
    <t>Scotland Saltires</t>
  </si>
  <si>
    <t>Sweden</t>
  </si>
  <si>
    <t xml:space="preserve">USA Swans </t>
  </si>
  <si>
    <t>Day two group finishing</t>
  </si>
  <si>
    <t>Spanish Legion</t>
  </si>
  <si>
    <t>Ireland</t>
  </si>
  <si>
    <t>Finals group</t>
  </si>
  <si>
    <t>second group</t>
  </si>
  <si>
    <t>third group</t>
  </si>
  <si>
    <t>Wooden spoon group</t>
  </si>
  <si>
    <t>Japan?</t>
  </si>
  <si>
    <t>Seedings</t>
  </si>
  <si>
    <t>First</t>
  </si>
  <si>
    <t>Second</t>
  </si>
  <si>
    <t>Unseeded</t>
  </si>
  <si>
    <t>Switzerland Helvetia Guards</t>
  </si>
  <si>
    <t>NZ</t>
  </si>
  <si>
    <t>FelixMeinhard</t>
  </si>
  <si>
    <t>Denmark 2</t>
  </si>
  <si>
    <t>Switzerland</t>
  </si>
  <si>
    <t>USA 2</t>
  </si>
  <si>
    <t>S African Kommandos</t>
  </si>
  <si>
    <t>S Africa</t>
  </si>
  <si>
    <t>Wales 2</t>
  </si>
  <si>
    <t>Scotland 2</t>
  </si>
  <si>
    <t>Grand finalists</t>
  </si>
  <si>
    <t>Second place</t>
  </si>
  <si>
    <t>Third place</t>
  </si>
  <si>
    <t>Fourth place</t>
  </si>
  <si>
    <t>Group 1</t>
  </si>
  <si>
    <t>dice</t>
  </si>
  <si>
    <t>Kills</t>
  </si>
  <si>
    <t>Secondaries</t>
  </si>
  <si>
    <t>October 25-26</t>
  </si>
  <si>
    <t>ranking</t>
  </si>
  <si>
    <t>Captain</t>
  </si>
  <si>
    <t>Players</t>
  </si>
  <si>
    <t>WOW III</t>
  </si>
  <si>
    <t>The champions group (1)</t>
  </si>
  <si>
    <t>The challengers group (2)</t>
  </si>
  <si>
    <t>The nations group (3)</t>
  </si>
  <si>
    <t>The heroes group (4)</t>
  </si>
  <si>
    <t>Carlos</t>
  </si>
  <si>
    <t>Thomas Wordemann</t>
  </si>
  <si>
    <t>Martin Storck</t>
  </si>
  <si>
    <t xml:space="preserve">Wales  </t>
  </si>
  <si>
    <t>Marek Zielinski</t>
  </si>
  <si>
    <t>Michal Brzeznicki</t>
  </si>
  <si>
    <t>Torben Davidsen</t>
  </si>
  <si>
    <t>British lions (Scot, Eng, Wales)</t>
  </si>
  <si>
    <t>Mixed nuts (Den 2)</t>
  </si>
  <si>
    <t>Barbarians (Den, GB, USA)</t>
  </si>
  <si>
    <t>Al Unicomb</t>
  </si>
  <si>
    <t>Daniel Brittain</t>
  </si>
  <si>
    <t>Matthew Park</t>
  </si>
  <si>
    <t>Mixed Nuts (Den 2)</t>
  </si>
  <si>
    <t>David Hesselfeldt</t>
  </si>
  <si>
    <t>Bjarke Knudsen</t>
  </si>
  <si>
    <t>Barbarians (UK, USA, Den)</t>
  </si>
  <si>
    <t>Jan pedersen</t>
  </si>
  <si>
    <t>August Taddeo</t>
  </si>
  <si>
    <t>Danny van der Rol</t>
  </si>
  <si>
    <t>Paul Wickens?</t>
  </si>
  <si>
    <t>Dominic Schneider</t>
  </si>
  <si>
    <t>Fabian Witasek</t>
  </si>
  <si>
    <t>Sebastian Buser</t>
  </si>
  <si>
    <t>Kenny Robson</t>
  </si>
  <si>
    <t>Harry Robson</t>
  </si>
  <si>
    <t>Mike Goss</t>
  </si>
  <si>
    <t>Charlie Murphy</t>
  </si>
  <si>
    <t>Matt Sparrow</t>
  </si>
  <si>
    <t>Maybe</t>
  </si>
  <si>
    <t>Andreas Valentin stuve</t>
  </si>
  <si>
    <t>no</t>
  </si>
  <si>
    <t>Austria</t>
  </si>
  <si>
    <t>bernhard Janisch</t>
  </si>
  <si>
    <t>Swiss</t>
  </si>
  <si>
    <t>Pierre Baghdad</t>
  </si>
  <si>
    <t>invited</t>
  </si>
  <si>
    <t>Warlord</t>
  </si>
  <si>
    <t>Kieran</t>
  </si>
  <si>
    <t>Norway?</t>
  </si>
  <si>
    <t>France?</t>
  </si>
  <si>
    <t>Champions group</t>
  </si>
  <si>
    <t>Third Group</t>
  </si>
  <si>
    <t>Group four</t>
  </si>
  <si>
    <t>Pirates 22</t>
  </si>
  <si>
    <t>Netherlands 20</t>
  </si>
  <si>
    <t>Germany II 12</t>
  </si>
  <si>
    <t xml:space="preserve">Spain  </t>
  </si>
  <si>
    <t>N. Ireland 2</t>
  </si>
  <si>
    <t>Group 3</t>
  </si>
  <si>
    <t>Second Group</t>
  </si>
  <si>
    <t>Fourth Group</t>
  </si>
  <si>
    <t>Poland 19</t>
  </si>
  <si>
    <t>Denmark 18</t>
  </si>
  <si>
    <t>Brit lions 11</t>
  </si>
  <si>
    <t>Australia 10</t>
  </si>
  <si>
    <t>Group 2</t>
  </si>
  <si>
    <t>Mixed Nuts 24</t>
  </si>
  <si>
    <t>Scotland 15</t>
  </si>
  <si>
    <t>Wales 10</t>
  </si>
  <si>
    <t>Barbarians 6</t>
  </si>
  <si>
    <t>Spain 17</t>
  </si>
  <si>
    <t>Spain II 13</t>
  </si>
  <si>
    <t>England 13</t>
  </si>
  <si>
    <t>Germany 11</t>
  </si>
  <si>
    <t>Spain 1 Tercio Viejo</t>
  </si>
  <si>
    <t>Spain 1</t>
  </si>
  <si>
    <t xml:space="preserve">Germany </t>
  </si>
  <si>
    <t xml:space="preserve">Spain 2 Tercio nuevo </t>
  </si>
  <si>
    <t>Team Cymru (2)</t>
  </si>
  <si>
    <t>Team Wales (1)</t>
  </si>
  <si>
    <t>Ignacio</t>
  </si>
  <si>
    <t>Day 1</t>
  </si>
  <si>
    <t>Day 2</t>
  </si>
  <si>
    <t>Seed</t>
  </si>
  <si>
    <t>Tercio nuevo</t>
  </si>
  <si>
    <t>Day one</t>
  </si>
  <si>
    <t>Day two</t>
  </si>
  <si>
    <t xml:space="preserve">Seedings </t>
  </si>
  <si>
    <t>Seed A</t>
  </si>
  <si>
    <t>USA SNAFU</t>
  </si>
  <si>
    <t>Seed B</t>
  </si>
  <si>
    <t>h</t>
  </si>
  <si>
    <t>Spain Almogavares</t>
  </si>
  <si>
    <t>Tim Cymru</t>
  </si>
  <si>
    <t>Seed C</t>
  </si>
  <si>
    <t>Denmark Jutland Company</t>
  </si>
  <si>
    <t>Germany Luftwaffel</t>
  </si>
  <si>
    <t>Group 4</t>
  </si>
  <si>
    <t>Seed D</t>
  </si>
  <si>
    <t>Victory Conditions</t>
  </si>
  <si>
    <t>Deployment Zone</t>
  </si>
  <si>
    <t>Deployment Type</t>
  </si>
  <si>
    <t>Special Orders</t>
  </si>
  <si>
    <t>Prep</t>
  </si>
  <si>
    <t>Hidden set up</t>
  </si>
  <si>
    <t>Objective/Kill</t>
  </si>
  <si>
    <t xml:space="preserve">Objective </t>
  </si>
  <si>
    <t>Move</t>
  </si>
  <si>
    <t>Kill</t>
  </si>
  <si>
    <t>No Man's land</t>
  </si>
  <si>
    <t>Forward deployment</t>
  </si>
  <si>
    <t>Outflanking</t>
  </si>
  <si>
    <t>Prep Bombardment</t>
  </si>
  <si>
    <t>Deployment or first wave</t>
  </si>
  <si>
    <t>Kill/Move</t>
  </si>
  <si>
    <t>Deployment</t>
  </si>
  <si>
    <t>Type</t>
  </si>
  <si>
    <t>Specials</t>
  </si>
  <si>
    <t>Set up</t>
  </si>
  <si>
    <t>Infiltrate</t>
  </si>
  <si>
    <t>Outflank</t>
  </si>
  <si>
    <t>Errata</t>
  </si>
  <si>
    <t>Table type</t>
  </si>
  <si>
    <t>Seek and Destroy</t>
  </si>
  <si>
    <t>24" vis T1</t>
  </si>
  <si>
    <t>Long edges</t>
  </si>
  <si>
    <t>Prepard positions</t>
  </si>
  <si>
    <t>Meeting Engagement</t>
  </si>
  <si>
    <t>Meeting Eng.</t>
  </si>
  <si>
    <t>Land Grab</t>
  </si>
  <si>
    <t>Quarters</t>
  </si>
  <si>
    <t>Key Positions 4</t>
  </si>
  <si>
    <t>Objective</t>
  </si>
  <si>
    <t>Key Positions 5</t>
  </si>
  <si>
    <t>Key Positions 6</t>
  </si>
  <si>
    <t>Key Positions 7</t>
  </si>
  <si>
    <t>Breakthrough</t>
  </si>
  <si>
    <t>Breakthrough Alley</t>
  </si>
  <si>
    <t>Hold until relieved</t>
  </si>
  <si>
    <t>3 units deploy</t>
  </si>
  <si>
    <t>Special</t>
  </si>
  <si>
    <t>Street fight</t>
  </si>
  <si>
    <t>On a city table</t>
  </si>
  <si>
    <t>Attack and counter attack</t>
  </si>
  <si>
    <t>Objectives scored at round end</t>
  </si>
  <si>
    <t>Opening barrage</t>
  </si>
  <si>
    <t>indirect kills 2 pts</t>
  </si>
  <si>
    <t>Artillery hits are indirect, air strikes are not, includes if it adds pins and OT failed</t>
  </si>
  <si>
    <t>Armoured Thrust</t>
  </si>
  <si>
    <t>Vehicles score only</t>
  </si>
  <si>
    <t>Vehicles include any unit with an engine, so exclude cavalry</t>
  </si>
  <si>
    <t>Hacksaw ridge</t>
  </si>
  <si>
    <t>Medic plus 2 points</t>
  </si>
  <si>
    <t>put objectives in a line on a ridge</t>
  </si>
  <si>
    <t>Fighting withdrawal</t>
  </si>
  <si>
    <t>Unusual moving mission</t>
  </si>
  <si>
    <t>Mixed</t>
  </si>
  <si>
    <t>Change to no outflanking</t>
  </si>
  <si>
    <t>Primisole bridge</t>
  </si>
  <si>
    <t xml:space="preserve">Kill </t>
  </si>
  <si>
    <t>Paras can infiltrate, use river</t>
  </si>
  <si>
    <t>Surrounded</t>
  </si>
  <si>
    <t>Paras infiltrate</t>
  </si>
  <si>
    <t>Fog of War</t>
  </si>
  <si>
    <t>special</t>
  </si>
  <si>
    <t>City block wars</t>
  </si>
  <si>
    <t>Engineers infiltrate</t>
  </si>
  <si>
    <t>The Butcher's bill</t>
  </si>
  <si>
    <t>Close combat kill bonus VP</t>
  </si>
  <si>
    <t>Play Dirty</t>
  </si>
  <si>
    <t>Objective/kill</t>
  </si>
  <si>
    <t>Desert raid</t>
  </si>
  <si>
    <t>four objectives in centre of quarters table, vehcile needs to touch them, stay one turn in contact and then can drive off with them. Objectives worth 3 pts, 1 pt a kill</t>
  </si>
  <si>
    <t>The Bulge</t>
  </si>
  <si>
    <t>Ardennes</t>
  </si>
  <si>
    <t>The thin red line</t>
  </si>
  <si>
    <t>move</t>
  </si>
  <si>
    <t>Guadalcanal</t>
  </si>
  <si>
    <t>Cross of Iron</t>
  </si>
  <si>
    <t>Crimea</t>
  </si>
  <si>
    <t>Main room</t>
  </si>
  <si>
    <t>Main games goom</t>
  </si>
  <si>
    <t>Brexit suite</t>
  </si>
  <si>
    <t>Freddie's closet</t>
  </si>
  <si>
    <t>KP 7</t>
  </si>
  <si>
    <t>The bulge</t>
  </si>
  <si>
    <t>TO room</t>
  </si>
  <si>
    <t>KP 5</t>
  </si>
  <si>
    <t>ardennes table</t>
  </si>
  <si>
    <t>Fighting withdrawl</t>
  </si>
  <si>
    <t>Ruins</t>
  </si>
  <si>
    <t>Port</t>
  </si>
  <si>
    <t>Land grab</t>
  </si>
  <si>
    <t>The butchers bill</t>
  </si>
  <si>
    <t>*</t>
  </si>
  <si>
    <t>play dirty</t>
  </si>
  <si>
    <t>KP 6</t>
  </si>
  <si>
    <t>Jungle</t>
  </si>
  <si>
    <t>French town</t>
  </si>
  <si>
    <t>desert</t>
  </si>
  <si>
    <t>Armoured thrust</t>
  </si>
  <si>
    <t>Thin red line</t>
  </si>
  <si>
    <t>Bocage</t>
  </si>
  <si>
    <t>Hill line</t>
  </si>
  <si>
    <t>KP 4</t>
  </si>
  <si>
    <t>French Farm</t>
  </si>
  <si>
    <t>Asian farm</t>
  </si>
  <si>
    <t>Airfield</t>
  </si>
  <si>
    <t>seek and destroy</t>
  </si>
  <si>
    <t>Meeting engagement</t>
  </si>
  <si>
    <t>Ruined town</t>
  </si>
  <si>
    <t>Rail yard</t>
  </si>
  <si>
    <t>River country</t>
  </si>
  <si>
    <t>Toilet</t>
  </si>
  <si>
    <t>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</si>
</sst>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50505"/>
      <name val="Segoe UI Historic"/>
      <charset val="1"/>
    </font>
    <font>
      <sz val="11"/>
      <color rgb="FF050505"/>
      <name val="Segoe UI Historic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50505"/>
      <name val="Calibri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80809"/>
      <name val="Inherit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2" borderId="0" xfId="0" applyFon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4" borderId="0" xfId="0" applyFont="1" applyFill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9" xfId="0" applyBorder="1"/>
    <xf numFmtId="0" fontId="0" fillId="5" borderId="30" xfId="0" applyFill="1" applyBorder="1"/>
    <xf numFmtId="0" fontId="0" fillId="5" borderId="31" xfId="0" applyFill="1" applyBorder="1"/>
    <xf numFmtId="0" fontId="0" fillId="5" borderId="21" xfId="0" applyFill="1" applyBorder="1"/>
    <xf numFmtId="0" fontId="0" fillId="5" borderId="24" xfId="0" applyFill="1" applyBorder="1"/>
    <xf numFmtId="0" fontId="0" fillId="6" borderId="0" xfId="0" applyFill="1"/>
    <xf numFmtId="0" fontId="0" fillId="6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18" xfId="0" applyFill="1" applyBorder="1"/>
    <xf numFmtId="0" fontId="0" fillId="6" borderId="19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2" xfId="0" applyFill="1" applyBorder="1"/>
    <xf numFmtId="0" fontId="0" fillId="7" borderId="0" xfId="0" applyFill="1"/>
    <xf numFmtId="0" fontId="0" fillId="7" borderId="13" xfId="0" applyFill="1" applyBorder="1"/>
    <xf numFmtId="0" fontId="0" fillId="7" borderId="17" xfId="0" applyFill="1" applyBorder="1"/>
    <xf numFmtId="0" fontId="0" fillId="7" borderId="19" xfId="0" applyFill="1" applyBorder="1"/>
    <xf numFmtId="0" fontId="0" fillId="0" borderId="32" xfId="0" applyBorder="1"/>
    <xf numFmtId="0" fontId="0" fillId="0" borderId="33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2" fillId="0" borderId="0" xfId="1"/>
    <xf numFmtId="0" fontId="0" fillId="0" borderId="34" xfId="0" applyBorder="1"/>
    <xf numFmtId="0" fontId="0" fillId="0" borderId="26" xfId="0" applyBorder="1"/>
    <xf numFmtId="0" fontId="10" fillId="0" borderId="0" xfId="0" applyFont="1"/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3" borderId="0" xfId="0" applyFill="1"/>
    <xf numFmtId="0" fontId="0" fillId="10" borderId="0" xfId="0" applyFill="1"/>
    <xf numFmtId="0" fontId="0" fillId="8" borderId="0" xfId="0" applyFill="1"/>
    <xf numFmtId="0" fontId="0" fillId="3" borderId="21" xfId="0" applyFill="1" applyBorder="1"/>
    <xf numFmtId="0" fontId="0" fillId="9" borderId="27" xfId="0" applyFill="1" applyBorder="1"/>
    <xf numFmtId="0" fontId="0" fillId="11" borderId="27" xfId="0" applyFill="1" applyBorder="1"/>
    <xf numFmtId="0" fontId="0" fillId="3" borderId="27" xfId="0" applyFill="1" applyBorder="1"/>
    <xf numFmtId="0" fontId="0" fillId="10" borderId="27" xfId="0" applyFill="1" applyBorder="1"/>
    <xf numFmtId="0" fontId="0" fillId="10" borderId="21" xfId="0" applyFill="1" applyBorder="1"/>
    <xf numFmtId="0" fontId="0" fillId="0" borderId="41" xfId="0" applyBorder="1"/>
    <xf numFmtId="0" fontId="0" fillId="0" borderId="42" xfId="0" applyBorder="1"/>
    <xf numFmtId="0" fontId="11" fillId="0" borderId="0" xfId="0" applyFont="1"/>
    <xf numFmtId="0" fontId="1" fillId="7" borderId="48" xfId="0" applyFont="1" applyFill="1" applyBorder="1" applyAlignment="1">
      <alignment horizontal="center"/>
    </xf>
    <xf numFmtId="0" fontId="12" fillId="7" borderId="49" xfId="0" applyFont="1" applyFill="1" applyBorder="1" applyAlignment="1">
      <alignment horizontal="center"/>
    </xf>
    <xf numFmtId="0" fontId="12" fillId="7" borderId="39" xfId="0" applyFont="1" applyFill="1" applyBorder="1" applyAlignment="1">
      <alignment horizontal="center"/>
    </xf>
    <xf numFmtId="0" fontId="1" fillId="7" borderId="39" xfId="0" applyFont="1" applyFill="1" applyBorder="1" applyAlignment="1">
      <alignment horizontal="center"/>
    </xf>
    <xf numFmtId="0" fontId="1" fillId="7" borderId="50" xfId="0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0" fontId="12" fillId="7" borderId="51" xfId="0" applyFont="1" applyFill="1" applyBorder="1" applyAlignment="1">
      <alignment horizontal="center"/>
    </xf>
    <xf numFmtId="0" fontId="12" fillId="7" borderId="52" xfId="0" applyFont="1" applyFill="1" applyBorder="1" applyAlignment="1">
      <alignment horizontal="center"/>
    </xf>
    <xf numFmtId="0" fontId="1" fillId="7" borderId="52" xfId="0" applyFont="1" applyFill="1" applyBorder="1" applyAlignment="1">
      <alignment horizontal="center"/>
    </xf>
    <xf numFmtId="0" fontId="1" fillId="7" borderId="53" xfId="0" applyFont="1" applyFill="1" applyBorder="1" applyAlignment="1">
      <alignment horizontal="center"/>
    </xf>
    <xf numFmtId="0" fontId="1" fillId="7" borderId="54" xfId="0" applyFont="1" applyFill="1" applyBorder="1" applyAlignment="1">
      <alignment horizontal="center"/>
    </xf>
    <xf numFmtId="0" fontId="0" fillId="7" borderId="55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7" borderId="58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7" borderId="48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47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64" xfId="0" applyFont="1" applyBorder="1" applyAlignment="1">
      <alignment horizontal="center" wrapText="1"/>
    </xf>
    <xf numFmtId="0" fontId="1" fillId="0" borderId="6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7" borderId="67" xfId="0" applyFont="1" applyFill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3" fillId="3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0" xfId="0" applyAlignment="1">
      <alignment wrapText="1"/>
    </xf>
    <xf numFmtId="0" fontId="0" fillId="9" borderId="0" xfId="0" applyFill="1"/>
    <xf numFmtId="0" fontId="0" fillId="10" borderId="0" xfId="0" applyFill="1" applyAlignment="1">
      <alignment wrapText="1"/>
    </xf>
    <xf numFmtId="0" fontId="0" fillId="5" borderId="9" xfId="0" applyFill="1" applyBorder="1"/>
    <xf numFmtId="0" fontId="0" fillId="3" borderId="11" xfId="0" applyFill="1" applyBorder="1"/>
    <xf numFmtId="0" fontId="0" fillId="5" borderId="68" xfId="0" applyFill="1" applyBorder="1"/>
    <xf numFmtId="0" fontId="0" fillId="10" borderId="70" xfId="0" applyFill="1" applyBorder="1"/>
    <xf numFmtId="0" fontId="0" fillId="5" borderId="17" xfId="0" applyFill="1" applyBorder="1"/>
    <xf numFmtId="0" fontId="0" fillId="5" borderId="19" xfId="0" applyFill="1" applyBorder="1"/>
    <xf numFmtId="0" fontId="0" fillId="5" borderId="18" xfId="0" applyFill="1" applyBorder="1"/>
    <xf numFmtId="0" fontId="0" fillId="12" borderId="30" xfId="0" applyFill="1" applyBorder="1"/>
    <xf numFmtId="0" fontId="0" fillId="12" borderId="31" xfId="0" applyFill="1" applyBorder="1"/>
    <xf numFmtId="0" fontId="0" fillId="13" borderId="29" xfId="0" applyFill="1" applyBorder="1"/>
    <xf numFmtId="0" fontId="0" fillId="13" borderId="27" xfId="0" applyFill="1" applyBorder="1"/>
    <xf numFmtId="0" fontId="0" fillId="13" borderId="28" xfId="0" applyFill="1" applyBorder="1"/>
    <xf numFmtId="0" fontId="0" fillId="13" borderId="26" xfId="0" applyFill="1" applyBorder="1"/>
    <xf numFmtId="0" fontId="0" fillId="11" borderId="0" xfId="0" applyFill="1"/>
    <xf numFmtId="0" fontId="0" fillId="13" borderId="21" xfId="0" applyFill="1" applyBorder="1"/>
    <xf numFmtId="0" fontId="0" fillId="13" borderId="24" xfId="0" applyFill="1" applyBorder="1"/>
    <xf numFmtId="0" fontId="0" fillId="13" borderId="17" xfId="0" applyFill="1" applyBorder="1"/>
    <xf numFmtId="0" fontId="0" fillId="13" borderId="19" xfId="0" applyFill="1" applyBorder="1"/>
    <xf numFmtId="0" fontId="0" fillId="13" borderId="30" xfId="0" applyFill="1" applyBorder="1"/>
    <xf numFmtId="0" fontId="0" fillId="12" borderId="9" xfId="0" applyFill="1" applyBorder="1"/>
    <xf numFmtId="0" fontId="0" fillId="12" borderId="17" xfId="0" applyFill="1" applyBorder="1"/>
    <xf numFmtId="0" fontId="0" fillId="3" borderId="22" xfId="0" applyFill="1" applyBorder="1"/>
    <xf numFmtId="0" fontId="0" fillId="15" borderId="29" xfId="0" applyFill="1" applyBorder="1"/>
    <xf numFmtId="0" fontId="0" fillId="15" borderId="27" xfId="0" applyFill="1" applyBorder="1"/>
    <xf numFmtId="0" fontId="0" fillId="15" borderId="28" xfId="0" applyFill="1" applyBorder="1"/>
    <xf numFmtId="0" fontId="1" fillId="9" borderId="27" xfId="0" applyFont="1" applyFill="1" applyBorder="1"/>
    <xf numFmtId="0" fontId="0" fillId="5" borderId="20" xfId="0" applyFill="1" applyBorder="1"/>
    <xf numFmtId="0" fontId="0" fillId="5" borderId="23" xfId="0" applyFill="1" applyBorder="1"/>
    <xf numFmtId="0" fontId="0" fillId="5" borderId="25" xfId="0" applyFill="1" applyBorder="1"/>
    <xf numFmtId="0" fontId="0" fillId="13" borderId="20" xfId="0" applyFill="1" applyBorder="1"/>
    <xf numFmtId="0" fontId="0" fillId="13" borderId="23" xfId="0" applyFill="1" applyBorder="1"/>
    <xf numFmtId="0" fontId="0" fillId="13" borderId="25" xfId="0" applyFill="1" applyBorder="1"/>
    <xf numFmtId="0" fontId="1" fillId="10" borderId="10" xfId="0" applyFont="1" applyFill="1" applyBorder="1"/>
    <xf numFmtId="0" fontId="1" fillId="3" borderId="70" xfId="0" applyFont="1" applyFill="1" applyBorder="1"/>
    <xf numFmtId="0" fontId="1" fillId="9" borderId="21" xfId="0" applyFont="1" applyFill="1" applyBorder="1"/>
    <xf numFmtId="0" fontId="1" fillId="9" borderId="0" xfId="0" applyFont="1" applyFill="1"/>
    <xf numFmtId="0" fontId="1" fillId="14" borderId="0" xfId="0" applyFont="1" applyFill="1"/>
    <xf numFmtId="0" fontId="1" fillId="9" borderId="18" xfId="0" applyFont="1" applyFill="1" applyBorder="1"/>
    <xf numFmtId="0" fontId="1" fillId="10" borderId="70" xfId="0" applyFont="1" applyFill="1" applyBorder="1"/>
    <xf numFmtId="0" fontId="1" fillId="9" borderId="22" xfId="0" applyFont="1" applyFill="1" applyBorder="1"/>
    <xf numFmtId="0" fontId="17" fillId="0" borderId="0" xfId="0" applyFont="1" applyAlignment="1">
      <alignment wrapText="1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7" borderId="61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2" xfId="0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1" fillId="7" borderId="47" xfId="0" applyFont="1" applyFill="1" applyBorder="1" applyAlignment="1">
      <alignment horizontal="center"/>
    </xf>
    <xf numFmtId="0" fontId="1" fillId="0" borderId="63" xfId="0" applyFont="1" applyBorder="1" applyAlignment="1">
      <alignment horizontal="center" wrapText="1"/>
    </xf>
    <xf numFmtId="0" fontId="1" fillId="0" borderId="64" xfId="0" applyFont="1" applyBorder="1" applyAlignment="1">
      <alignment horizontal="center" wrapText="1"/>
    </xf>
    <xf numFmtId="0" fontId="1" fillId="0" borderId="63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jaxx0316@hotmail.com" TargetMode="External"/><Relationship Id="rId13" Type="http://schemas.openxmlformats.org/officeDocument/2006/relationships/hyperlink" Target="mailto:boh1978@gmail.com" TargetMode="External"/><Relationship Id="rId18" Type="http://schemas.openxmlformats.org/officeDocument/2006/relationships/hyperlink" Target="mailto:nick@brayle.com" TargetMode="External"/><Relationship Id="rId3" Type="http://schemas.openxmlformats.org/officeDocument/2006/relationships/hyperlink" Target="mailto:1800bryan@live.com" TargetMode="External"/><Relationship Id="rId7" Type="http://schemas.openxmlformats.org/officeDocument/2006/relationships/hyperlink" Target="mailto:pwickens2003@yahoo.co.uk" TargetMode="External"/><Relationship Id="rId12" Type="http://schemas.openxmlformats.org/officeDocument/2006/relationships/hyperlink" Target="mailto:christiansen_michael@yahoo.com" TargetMode="External"/><Relationship Id="rId17" Type="http://schemas.openxmlformats.org/officeDocument/2006/relationships/hyperlink" Target="mailto:facebook@gvsoft.com" TargetMode="External"/><Relationship Id="rId2" Type="http://schemas.openxmlformats.org/officeDocument/2006/relationships/hyperlink" Target="mailto:jonnycurran90@gmail.com" TargetMode="External"/><Relationship Id="rId16" Type="http://schemas.openxmlformats.org/officeDocument/2006/relationships/hyperlink" Target="https://onedrive.live.com/?id=5AFE89A2C195D898!sfa719d4ea39b43a0a7061f176e087e3e&amp;resid=5AFE89A2C195D898!sfa719d4ea39b43a0a7061f176e087e3e&amp;cid=5afe89a2c195d898&amp;ithint=folder&amp;redeem=aHR0cHM6Ly8xZHJ2Lm1zL2YvYy81YWZlODlhMmMxOTVkODk4L0VrNmRjZnFibzZCRHB3WWZGMjRJZmo0QmFqTUNMRHFCR2gtUkVNRFMtTGxUdmc_ZT1velRRSksmZmJjbGlkPUl3WTJ4amF3RlRyRmhsZUhSdUEyRmxiUUl4TUFBQkhYWkFkMWNlSF9najYwTXk5THFlUDVSSUtqcWlvemx4cHlIVlJUM29RN3NxZ2tsbnRSTmpKTHVlblFfYWVtX25Tdmdnb2tlTDQ5d1E2YXZ3VzJwSlE&amp;migratedtospo=true" TargetMode="External"/><Relationship Id="rId1" Type="http://schemas.openxmlformats.org/officeDocument/2006/relationships/hyperlink" Target="https://www.sswg.co.uk/sswg-presents-world-open-war/" TargetMode="External"/><Relationship Id="rId6" Type="http://schemas.openxmlformats.org/officeDocument/2006/relationships/hyperlink" Target="mailto:gnthomson@yahoo.com" TargetMode="External"/><Relationship Id="rId11" Type="http://schemas.openxmlformats.org/officeDocument/2006/relationships/hyperlink" Target="mailto:manuel.jimenez23@gmail.com" TargetMode="External"/><Relationship Id="rId5" Type="http://schemas.openxmlformats.org/officeDocument/2006/relationships/hyperlink" Target="mailto:edward.cooke@hotmail.co.uk" TargetMode="External"/><Relationship Id="rId15" Type="http://schemas.openxmlformats.org/officeDocument/2006/relationships/hyperlink" Target="mailto:galadrion1@gmail.com" TargetMode="External"/><Relationship Id="rId10" Type="http://schemas.openxmlformats.org/officeDocument/2006/relationships/hyperlink" Target="mailto:bom@rhs.dk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benjamin.m.r.andrews@gmail.com" TargetMode="External"/><Relationship Id="rId9" Type="http://schemas.openxmlformats.org/officeDocument/2006/relationships/hyperlink" Target="mailto:aquiles_hispano@hotmail.com" TargetMode="External"/><Relationship Id="rId14" Type="http://schemas.openxmlformats.org/officeDocument/2006/relationships/hyperlink" Target="mailto:powwowofdisorder@hot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jaxx0316@hotmail.com" TargetMode="External"/><Relationship Id="rId13" Type="http://schemas.openxmlformats.org/officeDocument/2006/relationships/hyperlink" Target="mailto:boh1978@gmail.com" TargetMode="External"/><Relationship Id="rId18" Type="http://schemas.openxmlformats.org/officeDocument/2006/relationships/hyperlink" Target="mailto:nick@brayle.com" TargetMode="External"/><Relationship Id="rId3" Type="http://schemas.openxmlformats.org/officeDocument/2006/relationships/hyperlink" Target="mailto:1800bryan@live.com" TargetMode="External"/><Relationship Id="rId7" Type="http://schemas.openxmlformats.org/officeDocument/2006/relationships/hyperlink" Target="mailto:pwickens2003@yahoo.co.uk" TargetMode="External"/><Relationship Id="rId12" Type="http://schemas.openxmlformats.org/officeDocument/2006/relationships/hyperlink" Target="mailto:christiansen_michael@yahoo.com" TargetMode="External"/><Relationship Id="rId17" Type="http://schemas.openxmlformats.org/officeDocument/2006/relationships/hyperlink" Target="mailto:facebook@gvsoft.com" TargetMode="External"/><Relationship Id="rId2" Type="http://schemas.openxmlformats.org/officeDocument/2006/relationships/hyperlink" Target="mailto:jonnycurran90@gmail.com" TargetMode="External"/><Relationship Id="rId16" Type="http://schemas.openxmlformats.org/officeDocument/2006/relationships/hyperlink" Target="https://onedrive.live.com/?id=5AFE89A2C195D898!sfa719d4ea39b43a0a7061f176e087e3e&amp;resid=5AFE89A2C195D898!sfa719d4ea39b43a0a7061f176e087e3e&amp;cid=5afe89a2c195d898&amp;ithint=folder&amp;redeem=aHR0cHM6Ly8xZHJ2Lm1zL2YvYy81YWZlODlhMmMxOTVkODk4L0VrNmRjZnFibzZCRHB3WWZGMjRJZmo0QmFqTUNMRHFCR2gtUkVNRFMtTGxUdmc_ZT1velRRSksmZmJjbGlkPUl3WTJ4amF3RlRyRmhsZUhSdUEyRmxiUUl4TUFBQkhYWkFkMWNlSF9najYwTXk5THFlUDVSSUtqcWlvemx4cHlIVlJUM29RN3NxZ2tsbnRSTmpKTHVlblFfYWVtX25Tdmdnb2tlTDQ5d1E2YXZ3VzJwSlE&amp;migratedtospo=true" TargetMode="External"/><Relationship Id="rId1" Type="http://schemas.openxmlformats.org/officeDocument/2006/relationships/hyperlink" Target="https://www.sswg.co.uk/sswg-presents-world-open-war/" TargetMode="External"/><Relationship Id="rId6" Type="http://schemas.openxmlformats.org/officeDocument/2006/relationships/hyperlink" Target="mailto:gnthomson@yahoo.com" TargetMode="External"/><Relationship Id="rId11" Type="http://schemas.openxmlformats.org/officeDocument/2006/relationships/hyperlink" Target="mailto:manuel.jimenez23@gmail.com" TargetMode="External"/><Relationship Id="rId5" Type="http://schemas.openxmlformats.org/officeDocument/2006/relationships/hyperlink" Target="mailto:edward.cooke@hotmail.co.uk" TargetMode="External"/><Relationship Id="rId15" Type="http://schemas.openxmlformats.org/officeDocument/2006/relationships/hyperlink" Target="mailto:galadrion1@gmail.com" TargetMode="External"/><Relationship Id="rId10" Type="http://schemas.openxmlformats.org/officeDocument/2006/relationships/hyperlink" Target="mailto:bom@rhs.dk" TargetMode="External"/><Relationship Id="rId4" Type="http://schemas.openxmlformats.org/officeDocument/2006/relationships/hyperlink" Target="mailto:benjamin.m.r.andrews@gmail.com" TargetMode="External"/><Relationship Id="rId9" Type="http://schemas.openxmlformats.org/officeDocument/2006/relationships/hyperlink" Target="mailto:aquiles_hispano@hotmail.com" TargetMode="External"/><Relationship Id="rId14" Type="http://schemas.openxmlformats.org/officeDocument/2006/relationships/hyperlink" Target="mailto:powwowofdisorde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5F69-9C9C-4739-8EA7-3D79D0C00633}">
  <sheetPr>
    <pageSetUpPr fitToPage="1"/>
  </sheetPr>
  <dimension ref="A2:F52"/>
  <sheetViews>
    <sheetView workbookViewId="0">
      <selection activeCell="I7" sqref="I7"/>
    </sheetView>
  </sheetViews>
  <sheetFormatPr defaultRowHeight="15"/>
  <cols>
    <col min="1" max="1" width="74.7109375" customWidth="1"/>
    <col min="2" max="4" width="10.7109375" customWidth="1"/>
    <col min="5" max="5" width="11.140625" customWidth="1"/>
    <col min="6" max="6" width="15.5703125" customWidth="1"/>
    <col min="11" max="11" width="39.42578125" customWidth="1"/>
  </cols>
  <sheetData>
    <row r="2" spans="1:6">
      <c r="A2" s="51" t="s">
        <v>0</v>
      </c>
      <c r="B2" s="51" t="s">
        <v>1</v>
      </c>
      <c r="C2" s="52"/>
      <c r="D2" s="52"/>
      <c r="E2" s="52"/>
      <c r="F2" s="53"/>
    </row>
    <row r="3" spans="1:6">
      <c r="A3" s="77"/>
      <c r="B3" s="77"/>
      <c r="F3" s="78"/>
    </row>
    <row r="4" spans="1:6">
      <c r="A4" s="21"/>
      <c r="B4" s="21"/>
      <c r="C4" s="22"/>
      <c r="D4" s="22"/>
      <c r="E4" s="22"/>
      <c r="F4" s="23"/>
    </row>
    <row r="6" spans="1:6">
      <c r="A6" s="2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4" t="s">
        <v>7</v>
      </c>
    </row>
    <row r="7" spans="1:6">
      <c r="A7" s="56"/>
    </row>
    <row r="8" spans="1:6" ht="48.75" customHeight="1">
      <c r="A8" s="5"/>
      <c r="B8" s="49"/>
      <c r="C8" s="49"/>
      <c r="D8" s="49"/>
      <c r="E8" s="49"/>
      <c r="F8" s="50"/>
    </row>
    <row r="10" spans="1:6">
      <c r="A10" s="2" t="s">
        <v>2</v>
      </c>
      <c r="B10" s="3" t="s">
        <v>3</v>
      </c>
      <c r="C10" s="3" t="s">
        <v>4</v>
      </c>
      <c r="D10" s="3" t="s">
        <v>5</v>
      </c>
      <c r="E10" s="3" t="s">
        <v>6</v>
      </c>
      <c r="F10" s="4" t="s">
        <v>7</v>
      </c>
    </row>
    <row r="11" spans="1:6">
      <c r="A11" s="56"/>
    </row>
    <row r="12" spans="1:6" ht="49.5" customHeight="1">
      <c r="A12" s="56"/>
      <c r="B12" s="57"/>
      <c r="C12" s="53"/>
      <c r="D12" s="53"/>
      <c r="E12" s="52"/>
      <c r="F12" s="57"/>
    </row>
    <row r="13" spans="1:6">
      <c r="A13" s="51" t="s">
        <v>8</v>
      </c>
      <c r="B13" s="52"/>
      <c r="C13" s="52"/>
      <c r="D13" s="52"/>
      <c r="E13" s="52"/>
      <c r="F13" s="53"/>
    </row>
    <row r="14" spans="1:6">
      <c r="A14" s="77"/>
      <c r="F14" s="78"/>
    </row>
    <row r="15" spans="1:6">
      <c r="A15" s="77"/>
      <c r="F15" s="78"/>
    </row>
    <row r="16" spans="1:6">
      <c r="A16" s="51" t="s">
        <v>9</v>
      </c>
      <c r="B16" s="52" t="s">
        <v>10</v>
      </c>
      <c r="C16" s="52"/>
      <c r="D16" s="52"/>
      <c r="E16" s="52"/>
      <c r="F16" s="53"/>
    </row>
    <row r="17" spans="1:6">
      <c r="A17" s="77"/>
      <c r="F17" s="78"/>
    </row>
    <row r="18" spans="1:6">
      <c r="A18" s="21"/>
      <c r="B18" s="22"/>
      <c r="C18" s="22"/>
      <c r="D18" s="22"/>
      <c r="E18" s="22"/>
      <c r="F18" s="23"/>
    </row>
    <row r="21" spans="1:6">
      <c r="A21" s="51" t="s">
        <v>0</v>
      </c>
      <c r="B21" s="51" t="s">
        <v>1</v>
      </c>
      <c r="C21" s="52"/>
      <c r="D21" s="52"/>
      <c r="E21" s="52"/>
      <c r="F21" s="53"/>
    </row>
    <row r="22" spans="1:6">
      <c r="A22" s="77"/>
      <c r="B22" s="77"/>
      <c r="F22" s="78"/>
    </row>
    <row r="23" spans="1:6">
      <c r="A23" s="21"/>
      <c r="B23" s="21"/>
      <c r="C23" s="22"/>
      <c r="D23" s="22"/>
      <c r="E23" s="22"/>
      <c r="F23" s="23"/>
    </row>
    <row r="25" spans="1:6">
      <c r="A25" s="2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4" t="s">
        <v>7</v>
      </c>
    </row>
    <row r="26" spans="1:6" ht="45" customHeight="1">
      <c r="A26" s="5"/>
      <c r="B26" s="49"/>
      <c r="C26" s="49"/>
      <c r="D26" s="49"/>
      <c r="E26" s="49"/>
      <c r="F26" s="50"/>
    </row>
    <row r="28" spans="1:6">
      <c r="A28" s="2" t="s">
        <v>2</v>
      </c>
      <c r="B28" s="3" t="s">
        <v>3</v>
      </c>
      <c r="C28" s="3" t="s">
        <v>4</v>
      </c>
      <c r="D28" s="3" t="s">
        <v>5</v>
      </c>
      <c r="E28" s="3" t="s">
        <v>6</v>
      </c>
      <c r="F28" s="4" t="s">
        <v>7</v>
      </c>
    </row>
    <row r="29" spans="1:6" ht="46.5" customHeight="1">
      <c r="A29" s="56"/>
      <c r="B29" s="57"/>
      <c r="C29" s="53"/>
      <c r="D29" s="53"/>
      <c r="E29" s="52"/>
      <c r="F29" s="57"/>
    </row>
    <row r="30" spans="1:6">
      <c r="A30" s="51" t="s">
        <v>8</v>
      </c>
      <c r="B30" s="52"/>
      <c r="C30" s="52"/>
      <c r="D30" s="52"/>
      <c r="E30" s="52"/>
      <c r="F30" s="53"/>
    </row>
    <row r="31" spans="1:6">
      <c r="A31" s="77"/>
      <c r="F31" s="78"/>
    </row>
    <row r="32" spans="1:6">
      <c r="A32" s="77"/>
      <c r="F32" s="78"/>
    </row>
    <row r="33" spans="1:6">
      <c r="A33" s="51" t="s">
        <v>9</v>
      </c>
      <c r="B33" s="52" t="s">
        <v>10</v>
      </c>
      <c r="C33" s="52"/>
      <c r="D33" s="52"/>
      <c r="E33" s="52"/>
      <c r="F33" s="53"/>
    </row>
    <row r="34" spans="1:6">
      <c r="A34" s="77"/>
      <c r="F34" s="78"/>
    </row>
    <row r="35" spans="1:6">
      <c r="A35" s="21"/>
      <c r="B35" s="22"/>
      <c r="C35" s="22"/>
      <c r="D35" s="22"/>
      <c r="E35" s="22"/>
      <c r="F35" s="23"/>
    </row>
    <row r="38" spans="1:6">
      <c r="A38" s="51" t="s">
        <v>0</v>
      </c>
      <c r="B38" s="51" t="s">
        <v>1</v>
      </c>
      <c r="C38" s="52"/>
      <c r="D38" s="52"/>
      <c r="E38" s="52"/>
      <c r="F38" s="53"/>
    </row>
    <row r="39" spans="1:6">
      <c r="A39" s="77"/>
      <c r="B39" s="77"/>
      <c r="F39" s="78"/>
    </row>
    <row r="40" spans="1:6">
      <c r="A40" s="21"/>
      <c r="B40" s="21"/>
      <c r="C40" s="22"/>
      <c r="D40" s="22"/>
      <c r="E40" s="22"/>
      <c r="F40" s="23"/>
    </row>
    <row r="42" spans="1:6">
      <c r="A42" s="2" t="s">
        <v>2</v>
      </c>
      <c r="B42" s="3" t="s">
        <v>3</v>
      </c>
      <c r="C42" s="3" t="s">
        <v>4</v>
      </c>
      <c r="D42" s="3" t="s">
        <v>5</v>
      </c>
      <c r="E42" s="3" t="s">
        <v>6</v>
      </c>
      <c r="F42" s="4" t="s">
        <v>7</v>
      </c>
    </row>
    <row r="43" spans="1:6">
      <c r="A43" s="5"/>
      <c r="B43" s="49"/>
      <c r="C43" s="49"/>
      <c r="D43" s="49"/>
      <c r="E43" s="49"/>
      <c r="F43" s="50"/>
    </row>
    <row r="45" spans="1:6">
      <c r="A45" s="2" t="s">
        <v>2</v>
      </c>
      <c r="B45" s="3" t="s">
        <v>3</v>
      </c>
      <c r="C45" s="3" t="s">
        <v>4</v>
      </c>
      <c r="D45" s="3" t="s">
        <v>5</v>
      </c>
      <c r="E45" s="3" t="s">
        <v>6</v>
      </c>
      <c r="F45" s="4" t="s">
        <v>7</v>
      </c>
    </row>
    <row r="46" spans="1:6">
      <c r="A46" s="56"/>
      <c r="B46" s="57"/>
      <c r="C46" s="53"/>
      <c r="D46" s="53"/>
      <c r="E46" s="52"/>
      <c r="F46" s="57"/>
    </row>
    <row r="47" spans="1:6">
      <c r="A47" s="51" t="s">
        <v>8</v>
      </c>
      <c r="B47" s="52"/>
      <c r="C47" s="52"/>
      <c r="D47" s="52"/>
      <c r="E47" s="52"/>
      <c r="F47" s="53"/>
    </row>
    <row r="48" spans="1:6">
      <c r="A48" s="77"/>
      <c r="F48" s="78"/>
    </row>
    <row r="49" spans="1:6">
      <c r="A49" s="77"/>
      <c r="F49" s="78"/>
    </row>
    <row r="50" spans="1:6">
      <c r="A50" s="51" t="s">
        <v>9</v>
      </c>
      <c r="B50" s="52" t="s">
        <v>10</v>
      </c>
      <c r="C50" s="52"/>
      <c r="D50" s="52"/>
      <c r="E50" s="52"/>
      <c r="F50" s="53"/>
    </row>
    <row r="51" spans="1:6">
      <c r="A51" s="77"/>
      <c r="F51" s="78"/>
    </row>
    <row r="52" spans="1:6">
      <c r="A52" s="21"/>
      <c r="B52" s="22"/>
      <c r="C52" s="22"/>
      <c r="D52" s="22"/>
      <c r="E52" s="22"/>
      <c r="F52" s="23"/>
    </row>
  </sheetData>
  <pageMargins left="0.7" right="0.7" top="0.75" bottom="0.75" header="0.3" footer="0.3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451D-0E5C-4D74-B94D-6631EE044299}">
  <dimension ref="A1:F20"/>
  <sheetViews>
    <sheetView workbookViewId="0">
      <selection activeCell="F21" sqref="F21"/>
    </sheetView>
  </sheetViews>
  <sheetFormatPr defaultRowHeight="15"/>
  <cols>
    <col min="1" max="1" width="11.28515625" customWidth="1"/>
    <col min="2" max="2" width="12.42578125" customWidth="1"/>
    <col min="3" max="5" width="10.5703125" customWidth="1"/>
    <col min="6" max="6" width="44.7109375" bestFit="1" customWidth="1"/>
  </cols>
  <sheetData>
    <row r="1" spans="1:6"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 t="s">
        <v>17</v>
      </c>
      <c r="C2" t="s">
        <v>18</v>
      </c>
      <c r="D2" t="s">
        <v>19</v>
      </c>
      <c r="F2" t="s">
        <v>20</v>
      </c>
    </row>
    <row r="3" spans="1:6">
      <c r="A3" t="s">
        <v>21</v>
      </c>
      <c r="B3" t="s">
        <v>17</v>
      </c>
      <c r="C3" t="s">
        <v>18</v>
      </c>
      <c r="D3" t="s">
        <v>19</v>
      </c>
      <c r="F3" t="s">
        <v>20</v>
      </c>
    </row>
    <row r="4" spans="1:6">
      <c r="A4" t="s">
        <v>22</v>
      </c>
      <c r="B4" t="s">
        <v>23</v>
      </c>
      <c r="D4" t="s">
        <v>24</v>
      </c>
      <c r="F4" t="s">
        <v>25</v>
      </c>
    </row>
    <row r="5" spans="1:6">
      <c r="A5" t="s">
        <v>26</v>
      </c>
      <c r="B5" t="s">
        <v>27</v>
      </c>
      <c r="C5" t="s">
        <v>18</v>
      </c>
      <c r="D5" t="s">
        <v>19</v>
      </c>
      <c r="F5" t="s">
        <v>28</v>
      </c>
    </row>
    <row r="6" spans="1:6">
      <c r="A6" t="s">
        <v>29</v>
      </c>
      <c r="B6">
        <v>2026</v>
      </c>
      <c r="C6" t="s">
        <v>30</v>
      </c>
      <c r="D6" t="s">
        <v>19</v>
      </c>
      <c r="F6" t="s">
        <v>28</v>
      </c>
    </row>
    <row r="7" spans="1:6">
      <c r="A7" t="s">
        <v>31</v>
      </c>
      <c r="B7">
        <v>2026</v>
      </c>
      <c r="C7" t="s">
        <v>18</v>
      </c>
      <c r="D7" t="s">
        <v>19</v>
      </c>
      <c r="F7" t="s">
        <v>32</v>
      </c>
    </row>
    <row r="8" spans="1:6">
      <c r="A8" t="s">
        <v>33</v>
      </c>
      <c r="C8" t="s">
        <v>18</v>
      </c>
      <c r="D8" t="s">
        <v>19</v>
      </c>
      <c r="F8" t="s">
        <v>34</v>
      </c>
    </row>
    <row r="9" spans="1:6">
      <c r="A9" t="s">
        <v>35</v>
      </c>
      <c r="C9" t="s">
        <v>18</v>
      </c>
      <c r="D9" t="s">
        <v>19</v>
      </c>
      <c r="F9" t="s">
        <v>36</v>
      </c>
    </row>
    <row r="10" spans="1:6">
      <c r="A10" t="s">
        <v>37</v>
      </c>
      <c r="C10" t="s">
        <v>18</v>
      </c>
      <c r="D10" t="s">
        <v>24</v>
      </c>
      <c r="F10" t="s">
        <v>38</v>
      </c>
    </row>
    <row r="11" spans="1:6">
      <c r="A11" t="s">
        <v>39</v>
      </c>
      <c r="C11" t="s">
        <v>18</v>
      </c>
      <c r="D11" t="s">
        <v>19</v>
      </c>
      <c r="F11" t="s">
        <v>40</v>
      </c>
    </row>
    <row r="12" spans="1:6">
      <c r="A12" t="s">
        <v>41</v>
      </c>
      <c r="C12" t="s">
        <v>18</v>
      </c>
      <c r="D12" t="s">
        <v>19</v>
      </c>
      <c r="F12" t="s">
        <v>42</v>
      </c>
    </row>
    <row r="13" spans="1:6">
      <c r="A13" t="s">
        <v>43</v>
      </c>
      <c r="C13" t="s">
        <v>18</v>
      </c>
      <c r="D13" t="s">
        <v>19</v>
      </c>
      <c r="F13" t="s">
        <v>44</v>
      </c>
    </row>
    <row r="14" spans="1:6">
      <c r="A14" t="s">
        <v>45</v>
      </c>
      <c r="C14" t="s">
        <v>18</v>
      </c>
      <c r="D14" t="s">
        <v>19</v>
      </c>
      <c r="F14" t="s">
        <v>46</v>
      </c>
    </row>
    <row r="15" spans="1:6">
      <c r="A15" t="s">
        <v>47</v>
      </c>
      <c r="C15" t="s">
        <v>48</v>
      </c>
      <c r="D15" t="s">
        <v>24</v>
      </c>
    </row>
    <row r="16" spans="1:6">
      <c r="A16" t="s">
        <v>49</v>
      </c>
      <c r="C16" t="s">
        <v>18</v>
      </c>
      <c r="D16" t="s">
        <v>19</v>
      </c>
      <c r="F16" t="s">
        <v>42</v>
      </c>
    </row>
    <row r="17" spans="1:6">
      <c r="A17" t="s">
        <v>50</v>
      </c>
      <c r="C17" t="s">
        <v>18</v>
      </c>
      <c r="D17" t="s">
        <v>19</v>
      </c>
      <c r="F17" t="s">
        <v>51</v>
      </c>
    </row>
    <row r="18" spans="1:6">
      <c r="A18" t="s">
        <v>52</v>
      </c>
      <c r="D18" t="s">
        <v>24</v>
      </c>
      <c r="F18" t="s">
        <v>53</v>
      </c>
    </row>
    <row r="19" spans="1:6">
      <c r="A19" t="s">
        <v>54</v>
      </c>
      <c r="D19" t="s">
        <v>24</v>
      </c>
      <c r="F19" t="s">
        <v>55</v>
      </c>
    </row>
    <row r="20" spans="1:6">
      <c r="A20" t="s">
        <v>56</v>
      </c>
      <c r="B20" t="s">
        <v>57</v>
      </c>
      <c r="C20" t="s">
        <v>18</v>
      </c>
      <c r="D20" t="s">
        <v>19</v>
      </c>
      <c r="F20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E5F0-915F-4381-A91E-AE4531B86E8F}">
  <dimension ref="A1:AN39"/>
  <sheetViews>
    <sheetView tabSelected="1" workbookViewId="0">
      <selection activeCell="F4" sqref="F4"/>
    </sheetView>
  </sheetViews>
  <sheetFormatPr defaultRowHeight="15"/>
  <cols>
    <col min="1" max="1" width="19.5703125" bestFit="1" customWidth="1"/>
    <col min="2" max="2" width="17.42578125" bestFit="1" customWidth="1"/>
    <col min="3" max="3" width="5.7109375" bestFit="1" customWidth="1"/>
    <col min="4" max="4" width="15.28515625" bestFit="1" customWidth="1"/>
    <col min="5" max="5" width="5.7109375" bestFit="1" customWidth="1"/>
    <col min="6" max="6" width="24" bestFit="1" customWidth="1"/>
    <col min="7" max="7" width="7.42578125" bestFit="1" customWidth="1"/>
    <col min="8" max="8" width="6.42578125" bestFit="1" customWidth="1"/>
    <col min="9" max="9" width="10.7109375" bestFit="1" customWidth="1"/>
    <col min="10" max="10" width="10" bestFit="1" customWidth="1"/>
    <col min="11" max="11" width="5.7109375" bestFit="1" customWidth="1"/>
    <col min="12" max="12" width="11.42578125" bestFit="1" customWidth="1"/>
    <col min="13" max="13" width="5.7109375" bestFit="1" customWidth="1"/>
    <col min="14" max="14" width="12.140625" bestFit="1" customWidth="1"/>
    <col min="15" max="15" width="5.7109375" bestFit="1" customWidth="1"/>
    <col min="16" max="16" width="24" bestFit="1" customWidth="1"/>
    <col min="17" max="18" width="6.42578125" bestFit="1" customWidth="1"/>
    <col min="19" max="20" width="10" bestFit="1" customWidth="1"/>
    <col min="21" max="21" width="5.7109375" bestFit="1" customWidth="1"/>
    <col min="22" max="22" width="19.5703125" bestFit="1" customWidth="1"/>
    <col min="23" max="23" width="5.7109375" bestFit="1" customWidth="1"/>
    <col min="24" max="24" width="14.5703125" bestFit="1" customWidth="1"/>
    <col min="25" max="25" width="9.85546875" bestFit="1" customWidth="1"/>
    <col min="26" max="26" width="24" bestFit="1" customWidth="1"/>
    <col min="27" max="28" width="6.42578125" bestFit="1" customWidth="1"/>
    <col min="29" max="30" width="10" bestFit="1" customWidth="1"/>
    <col min="31" max="31" width="5.7109375" bestFit="1" customWidth="1"/>
    <col min="32" max="32" width="14.7109375" bestFit="1" customWidth="1"/>
    <col min="33" max="33" width="5.7109375" bestFit="1" customWidth="1"/>
    <col min="34" max="34" width="18.140625" bestFit="1" customWidth="1"/>
    <col min="35" max="35" width="5.7109375" bestFit="1" customWidth="1"/>
    <col min="36" max="36" width="24" bestFit="1" customWidth="1"/>
    <col min="37" max="38" width="6.42578125" bestFit="1" customWidth="1"/>
    <col min="39" max="40" width="10" bestFit="1" customWidth="1"/>
  </cols>
  <sheetData>
    <row r="1" spans="1:40">
      <c r="A1" s="1"/>
      <c r="B1" s="1"/>
      <c r="C1" s="1"/>
      <c r="D1" s="1"/>
      <c r="E1" s="1"/>
      <c r="F1" s="1"/>
      <c r="G1" s="1"/>
      <c r="H1" s="1"/>
      <c r="I1" s="1"/>
      <c r="J1" s="1"/>
    </row>
    <row r="2" spans="1:40">
      <c r="A2" s="166" t="s">
        <v>59</v>
      </c>
      <c r="B2" s="167"/>
      <c r="C2" s="167"/>
      <c r="D2" s="167"/>
      <c r="E2" s="167"/>
      <c r="F2" s="167"/>
      <c r="G2" s="167"/>
      <c r="H2" s="167"/>
      <c r="I2" s="167"/>
      <c r="J2" s="168"/>
      <c r="K2" s="166" t="s">
        <v>60</v>
      </c>
      <c r="L2" s="167"/>
      <c r="M2" s="167"/>
      <c r="N2" s="167"/>
      <c r="O2" s="167"/>
      <c r="P2" s="167"/>
      <c r="Q2" s="167"/>
      <c r="R2" s="167"/>
      <c r="S2" s="167"/>
      <c r="T2" s="168"/>
      <c r="U2" s="169" t="s">
        <v>61</v>
      </c>
      <c r="V2" s="170"/>
      <c r="W2" s="170"/>
      <c r="X2" s="170"/>
      <c r="Y2" s="170"/>
      <c r="Z2" s="170"/>
      <c r="AA2" s="170"/>
      <c r="AB2" s="170"/>
      <c r="AC2" s="170"/>
      <c r="AD2" s="171"/>
      <c r="AE2" s="169" t="s">
        <v>62</v>
      </c>
      <c r="AF2" s="170"/>
      <c r="AG2" s="170"/>
      <c r="AH2" s="170"/>
      <c r="AI2" s="170"/>
      <c r="AJ2" s="170"/>
      <c r="AK2" s="170"/>
      <c r="AL2" s="170"/>
      <c r="AM2" s="170"/>
      <c r="AN2" s="171"/>
    </row>
    <row r="3" spans="1:40">
      <c r="A3" s="80" t="s">
        <v>1</v>
      </c>
      <c r="B3" s="81" t="str">
        <f>A18</f>
        <v>Poland Black Brigade</v>
      </c>
      <c r="C3" s="81" t="s">
        <v>63</v>
      </c>
      <c r="D3" s="82" t="s">
        <v>52</v>
      </c>
      <c r="E3" s="82" t="s">
        <v>63</v>
      </c>
      <c r="F3" s="82" t="s">
        <v>64</v>
      </c>
      <c r="G3" s="83" t="s">
        <v>65</v>
      </c>
      <c r="H3" s="83" t="s">
        <v>65</v>
      </c>
      <c r="I3" s="83" t="s">
        <v>66</v>
      </c>
      <c r="J3" s="84" t="s">
        <v>66</v>
      </c>
      <c r="K3" s="80" t="s">
        <v>1</v>
      </c>
      <c r="L3" s="81" t="str">
        <f>A24</f>
        <v>Denmark</v>
      </c>
      <c r="M3" s="81" t="s">
        <v>63</v>
      </c>
      <c r="N3" s="82" t="s">
        <v>67</v>
      </c>
      <c r="O3" s="82" t="s">
        <v>63</v>
      </c>
      <c r="P3" s="82" t="s">
        <v>64</v>
      </c>
      <c r="Q3" s="83" t="s">
        <v>65</v>
      </c>
      <c r="R3" s="83" t="s">
        <v>65</v>
      </c>
      <c r="S3" s="83" t="s">
        <v>66</v>
      </c>
      <c r="T3" s="84" t="s">
        <v>66</v>
      </c>
      <c r="U3" s="85" t="s">
        <v>1</v>
      </c>
      <c r="V3" s="86" t="str">
        <f>A30</f>
        <v>Germany</v>
      </c>
      <c r="W3" s="86"/>
      <c r="X3" s="87" t="s">
        <v>68</v>
      </c>
      <c r="Y3" s="87" t="s">
        <v>63</v>
      </c>
      <c r="Z3" s="82" t="s">
        <v>64</v>
      </c>
      <c r="AA3" s="88" t="s">
        <v>65</v>
      </c>
      <c r="AB3" s="88" t="s">
        <v>65</v>
      </c>
      <c r="AC3" s="88" t="s">
        <v>66</v>
      </c>
      <c r="AD3" s="89" t="s">
        <v>66</v>
      </c>
      <c r="AE3" s="85" t="s">
        <v>1</v>
      </c>
      <c r="AF3" s="86" t="str">
        <f>A36</f>
        <v>Spain</v>
      </c>
      <c r="AG3" s="86" t="s">
        <v>63</v>
      </c>
      <c r="AH3" s="87" t="s">
        <v>69</v>
      </c>
      <c r="AI3" s="87" t="s">
        <v>63</v>
      </c>
      <c r="AJ3" s="82" t="s">
        <v>64</v>
      </c>
      <c r="AK3" s="88" t="s">
        <v>65</v>
      </c>
      <c r="AL3" s="88" t="s">
        <v>65</v>
      </c>
      <c r="AM3" s="88" t="s">
        <v>66</v>
      </c>
      <c r="AN3" s="90" t="s">
        <v>66</v>
      </c>
    </row>
    <row r="4" spans="1:40">
      <c r="A4" s="91">
        <v>19</v>
      </c>
      <c r="B4" s="92" t="s">
        <v>70</v>
      </c>
      <c r="C4" s="93" t="s">
        <v>71</v>
      </c>
      <c r="D4" s="94" t="s">
        <v>72</v>
      </c>
      <c r="E4" s="94" t="s">
        <v>73</v>
      </c>
      <c r="F4" s="94" t="s">
        <v>72</v>
      </c>
      <c r="G4" s="94">
        <v>3</v>
      </c>
      <c r="H4" s="94">
        <v>0</v>
      </c>
      <c r="I4" s="94">
        <v>0</v>
      </c>
      <c r="J4" s="95">
        <v>1</v>
      </c>
      <c r="K4" s="91">
        <v>1</v>
      </c>
      <c r="L4" s="93" t="s">
        <v>74</v>
      </c>
      <c r="M4" s="93" t="s">
        <v>73</v>
      </c>
      <c r="N4" s="94" t="s">
        <v>75</v>
      </c>
      <c r="O4" s="94" t="s">
        <v>76</v>
      </c>
      <c r="P4" s="94"/>
      <c r="Q4" s="94">
        <v>3</v>
      </c>
      <c r="R4" s="94">
        <v>0</v>
      </c>
      <c r="S4" s="94">
        <v>1</v>
      </c>
      <c r="T4" s="95">
        <v>0</v>
      </c>
      <c r="U4" s="91">
        <v>7</v>
      </c>
      <c r="V4" s="93" t="s">
        <v>77</v>
      </c>
      <c r="W4" s="93" t="s">
        <v>16</v>
      </c>
      <c r="X4" s="94" t="s">
        <v>78</v>
      </c>
      <c r="Y4" s="94" t="s">
        <v>79</v>
      </c>
      <c r="Z4" s="94"/>
      <c r="AA4" s="94">
        <v>3</v>
      </c>
      <c r="AB4" s="94">
        <v>0</v>
      </c>
      <c r="AC4" s="94">
        <v>0</v>
      </c>
      <c r="AD4" s="95">
        <v>1</v>
      </c>
      <c r="AE4" s="91">
        <v>13</v>
      </c>
      <c r="AF4" s="93" t="s">
        <v>80</v>
      </c>
      <c r="AG4" s="93" t="s">
        <v>71</v>
      </c>
      <c r="AH4" s="94" t="s">
        <v>81</v>
      </c>
      <c r="AI4" s="94" t="s">
        <v>71</v>
      </c>
      <c r="AJ4" s="94"/>
      <c r="AK4" s="94">
        <v>3</v>
      </c>
      <c r="AL4" s="94">
        <v>0</v>
      </c>
      <c r="AM4" s="94">
        <v>1</v>
      </c>
      <c r="AN4" s="96">
        <v>0</v>
      </c>
    </row>
    <row r="5" spans="1:40">
      <c r="A5" s="97">
        <v>20</v>
      </c>
      <c r="B5" s="98" t="s">
        <v>82</v>
      </c>
      <c r="C5" s="98" t="s">
        <v>83</v>
      </c>
      <c r="D5" s="99" t="s">
        <v>84</v>
      </c>
      <c r="E5" s="99" t="s">
        <v>83</v>
      </c>
      <c r="F5" s="99"/>
      <c r="G5" s="99">
        <v>3</v>
      </c>
      <c r="H5" s="99">
        <v>0</v>
      </c>
      <c r="I5" s="99">
        <v>0</v>
      </c>
      <c r="J5" s="100">
        <v>0</v>
      </c>
      <c r="K5" s="97">
        <v>2</v>
      </c>
      <c r="L5" s="98" t="s">
        <v>85</v>
      </c>
      <c r="M5" s="98" t="s">
        <v>79</v>
      </c>
      <c r="N5" s="99" t="s">
        <v>86</v>
      </c>
      <c r="O5" s="99" t="s">
        <v>87</v>
      </c>
      <c r="P5" s="99" t="s">
        <v>88</v>
      </c>
      <c r="Q5" s="99">
        <v>1</v>
      </c>
      <c r="R5" s="99">
        <v>1</v>
      </c>
      <c r="S5" s="99">
        <v>0</v>
      </c>
      <c r="T5" s="100">
        <v>1</v>
      </c>
      <c r="U5" s="97">
        <v>8</v>
      </c>
      <c r="V5" s="98" t="s">
        <v>89</v>
      </c>
      <c r="W5" s="98" t="s">
        <v>83</v>
      </c>
      <c r="X5" s="99" t="s">
        <v>23</v>
      </c>
      <c r="Y5" s="99" t="s">
        <v>71</v>
      </c>
      <c r="Z5" s="99" t="s">
        <v>23</v>
      </c>
      <c r="AA5" s="99">
        <v>3</v>
      </c>
      <c r="AB5" s="99">
        <v>0</v>
      </c>
      <c r="AC5" s="99">
        <v>1</v>
      </c>
      <c r="AD5" s="100">
        <v>0</v>
      </c>
      <c r="AE5" s="97">
        <v>14</v>
      </c>
      <c r="AF5" s="98" t="s">
        <v>90</v>
      </c>
      <c r="AG5" s="98" t="s">
        <v>16</v>
      </c>
      <c r="AH5" s="99" t="s">
        <v>91</v>
      </c>
      <c r="AI5" s="99" t="s">
        <v>16</v>
      </c>
      <c r="AJ5" s="99" t="s">
        <v>90</v>
      </c>
      <c r="AK5" s="99">
        <v>0</v>
      </c>
      <c r="AL5" s="99">
        <v>3</v>
      </c>
      <c r="AM5" s="99">
        <v>1</v>
      </c>
      <c r="AN5" s="101">
        <v>0</v>
      </c>
    </row>
    <row r="6" spans="1:40">
      <c r="A6" s="102">
        <v>21</v>
      </c>
      <c r="B6" s="98" t="s">
        <v>92</v>
      </c>
      <c r="C6" s="98" t="s">
        <v>73</v>
      </c>
      <c r="D6" s="99" t="s">
        <v>93</v>
      </c>
      <c r="E6" s="99" t="s">
        <v>16</v>
      </c>
      <c r="F6" s="99"/>
      <c r="G6" s="99">
        <v>1</v>
      </c>
      <c r="H6" s="99">
        <v>1</v>
      </c>
      <c r="I6" s="99">
        <v>0</v>
      </c>
      <c r="J6" s="100">
        <v>0</v>
      </c>
      <c r="K6" s="102">
        <v>3</v>
      </c>
      <c r="L6" s="98" t="s">
        <v>94</v>
      </c>
      <c r="M6" s="98" t="s">
        <v>95</v>
      </c>
      <c r="N6" s="99" t="s">
        <v>96</v>
      </c>
      <c r="O6" s="99" t="s">
        <v>22</v>
      </c>
      <c r="P6" s="99"/>
      <c r="Q6" s="99">
        <v>3</v>
      </c>
      <c r="R6" s="99">
        <v>0</v>
      </c>
      <c r="S6" s="99">
        <v>1</v>
      </c>
      <c r="T6" s="100">
        <v>0</v>
      </c>
      <c r="U6" s="102">
        <v>9</v>
      </c>
      <c r="V6" s="98" t="s">
        <v>97</v>
      </c>
      <c r="W6" s="98" t="s">
        <v>73</v>
      </c>
      <c r="X6" s="99" t="s">
        <v>98</v>
      </c>
      <c r="Y6" s="99" t="s">
        <v>22</v>
      </c>
      <c r="Z6" s="99"/>
      <c r="AA6" s="99">
        <v>0</v>
      </c>
      <c r="AB6" s="99">
        <v>3</v>
      </c>
      <c r="AC6" s="99">
        <v>1</v>
      </c>
      <c r="AD6" s="100">
        <v>0</v>
      </c>
      <c r="AE6" s="103">
        <v>15</v>
      </c>
      <c r="AF6" s="104" t="s">
        <v>99</v>
      </c>
      <c r="AG6" s="104" t="s">
        <v>73</v>
      </c>
      <c r="AH6" s="99" t="s">
        <v>100</v>
      </c>
      <c r="AI6" s="99" t="s">
        <v>83</v>
      </c>
      <c r="AJ6" s="99"/>
      <c r="AK6" s="99">
        <v>3</v>
      </c>
      <c r="AL6" s="99">
        <v>0</v>
      </c>
      <c r="AM6" s="99">
        <v>1</v>
      </c>
      <c r="AN6" s="101">
        <v>0</v>
      </c>
    </row>
    <row r="7" spans="1:40">
      <c r="A7" s="172" t="s">
        <v>101</v>
      </c>
      <c r="B7" s="173"/>
      <c r="C7" s="105"/>
      <c r="D7" s="99"/>
      <c r="E7" s="99"/>
      <c r="F7" s="99"/>
      <c r="G7" s="99">
        <v>1</v>
      </c>
      <c r="H7" s="99"/>
      <c r="I7" s="174"/>
      <c r="J7" s="175"/>
      <c r="K7" s="172" t="s">
        <v>101</v>
      </c>
      <c r="L7" s="176"/>
      <c r="M7" s="106"/>
      <c r="N7" s="99"/>
      <c r="O7" s="99"/>
      <c r="P7" s="99"/>
      <c r="Q7" s="99">
        <v>1</v>
      </c>
      <c r="R7" s="99"/>
      <c r="S7" s="174"/>
      <c r="T7" s="175"/>
      <c r="U7" s="172" t="s">
        <v>101</v>
      </c>
      <c r="V7" s="176"/>
      <c r="W7" s="106"/>
      <c r="X7" s="99"/>
      <c r="Y7" s="99"/>
      <c r="Z7" s="99"/>
      <c r="AA7" s="99">
        <v>1</v>
      </c>
      <c r="AB7" s="99"/>
      <c r="AC7" s="174"/>
      <c r="AD7" s="177"/>
      <c r="AE7" s="178" t="s">
        <v>101</v>
      </c>
      <c r="AF7" s="179"/>
      <c r="AG7" s="108"/>
      <c r="AH7" s="98"/>
      <c r="AI7" s="98"/>
      <c r="AJ7" s="98"/>
      <c r="AK7" s="99">
        <v>1</v>
      </c>
      <c r="AL7" s="99"/>
      <c r="AM7" s="174"/>
      <c r="AN7" s="175"/>
    </row>
    <row r="8" spans="1:40" s="1" customFormat="1">
      <c r="A8" s="180"/>
      <c r="B8" s="181"/>
      <c r="C8" s="181"/>
      <c r="D8" s="181"/>
      <c r="E8" s="109"/>
      <c r="F8" s="109"/>
      <c r="G8" s="110">
        <f>SUM(G4:G7)</f>
        <v>8</v>
      </c>
      <c r="H8" s="110">
        <f t="shared" ref="H8:I8" si="0">SUM(H4:H7)</f>
        <v>1</v>
      </c>
      <c r="I8" s="110">
        <f t="shared" si="0"/>
        <v>0</v>
      </c>
      <c r="J8" s="111">
        <f>SUM(J4:J7)</f>
        <v>1</v>
      </c>
      <c r="K8" s="182"/>
      <c r="L8" s="183"/>
      <c r="M8" s="183"/>
      <c r="N8" s="183"/>
      <c r="O8" s="110"/>
      <c r="P8" s="110"/>
      <c r="Q8" s="110">
        <f>SUM(Q4:Q7)</f>
        <v>8</v>
      </c>
      <c r="R8" s="110">
        <f t="shared" ref="R8:T8" si="1">SUM(R4:R7)</f>
        <v>1</v>
      </c>
      <c r="S8" s="110">
        <f t="shared" si="1"/>
        <v>2</v>
      </c>
      <c r="T8" s="112">
        <f t="shared" si="1"/>
        <v>1</v>
      </c>
      <c r="U8" s="184"/>
      <c r="V8" s="183"/>
      <c r="W8" s="183"/>
      <c r="X8" s="183"/>
      <c r="Y8" s="110"/>
      <c r="Z8" s="110"/>
      <c r="AA8" s="110">
        <f>SUM(AA4:AA7)</f>
        <v>7</v>
      </c>
      <c r="AB8" s="110">
        <f>SUM(AB4:AB7)</f>
        <v>3</v>
      </c>
      <c r="AC8" s="110">
        <f t="shared" ref="AB8:AD8" si="2">SUM(AC4:AC7)</f>
        <v>2</v>
      </c>
      <c r="AD8" s="112">
        <f t="shared" si="2"/>
        <v>1</v>
      </c>
      <c r="AE8" s="185"/>
      <c r="AF8" s="186"/>
      <c r="AG8" s="186"/>
      <c r="AH8" s="183"/>
      <c r="AI8" s="110"/>
      <c r="AJ8" s="110"/>
      <c r="AK8" s="114">
        <f>SUM(AK4:AK7)</f>
        <v>7</v>
      </c>
      <c r="AL8" s="114">
        <f t="shared" ref="AL8:AN8" si="3">SUM(AL4:AL7)</f>
        <v>3</v>
      </c>
      <c r="AM8" s="114">
        <f t="shared" si="3"/>
        <v>3</v>
      </c>
      <c r="AN8" s="116">
        <f t="shared" si="3"/>
        <v>0</v>
      </c>
    </row>
    <row r="9" spans="1:40">
      <c r="A9" s="113" t="s">
        <v>1</v>
      </c>
      <c r="B9" s="87" t="str">
        <f>A19</f>
        <v>England</v>
      </c>
      <c r="C9" s="87" t="s">
        <v>63</v>
      </c>
      <c r="D9" s="87" t="s">
        <v>102</v>
      </c>
      <c r="E9" s="87" t="s">
        <v>63</v>
      </c>
      <c r="F9" s="82" t="s">
        <v>64</v>
      </c>
      <c r="G9" s="88" t="s">
        <v>65</v>
      </c>
      <c r="H9" s="88" t="s">
        <v>65</v>
      </c>
      <c r="I9" s="88" t="s">
        <v>66</v>
      </c>
      <c r="J9" s="89" t="s">
        <v>66</v>
      </c>
      <c r="K9" s="85" t="s">
        <v>1</v>
      </c>
      <c r="L9" s="86" t="str">
        <f>A25</f>
        <v>Scotland</v>
      </c>
      <c r="M9" s="86" t="s">
        <v>63</v>
      </c>
      <c r="N9" s="87" t="s">
        <v>103</v>
      </c>
      <c r="O9" s="87" t="s">
        <v>63</v>
      </c>
      <c r="P9" s="82" t="s">
        <v>64</v>
      </c>
      <c r="Q9" s="88" t="s">
        <v>65</v>
      </c>
      <c r="R9" s="88" t="s">
        <v>65</v>
      </c>
      <c r="S9" s="88" t="s">
        <v>66</v>
      </c>
      <c r="T9" s="89" t="s">
        <v>66</v>
      </c>
      <c r="U9" s="85" t="s">
        <v>1</v>
      </c>
      <c r="V9" s="86" t="str">
        <f>A31</f>
        <v>British Lions</v>
      </c>
      <c r="W9" s="86" t="s">
        <v>63</v>
      </c>
      <c r="X9" s="87" t="s">
        <v>104</v>
      </c>
      <c r="Y9" s="87" t="s">
        <v>63</v>
      </c>
      <c r="Z9" s="82" t="s">
        <v>64</v>
      </c>
      <c r="AA9" s="88" t="s">
        <v>65</v>
      </c>
      <c r="AB9" s="88" t="s">
        <v>65</v>
      </c>
      <c r="AC9" s="88" t="s">
        <v>66</v>
      </c>
      <c r="AD9" s="90" t="s">
        <v>66</v>
      </c>
      <c r="AE9" s="107" t="s">
        <v>1</v>
      </c>
      <c r="AF9" s="86" t="str">
        <f>A37</f>
        <v>Wales</v>
      </c>
      <c r="AG9" s="86" t="s">
        <v>63</v>
      </c>
      <c r="AH9" s="87" t="s">
        <v>105</v>
      </c>
      <c r="AI9" s="87" t="s">
        <v>63</v>
      </c>
      <c r="AJ9" s="82" t="s">
        <v>64</v>
      </c>
      <c r="AK9" s="88" t="s">
        <v>65</v>
      </c>
      <c r="AL9" s="88" t="s">
        <v>65</v>
      </c>
      <c r="AM9" s="88" t="s">
        <v>66</v>
      </c>
      <c r="AN9" s="90" t="s">
        <v>66</v>
      </c>
    </row>
    <row r="10" spans="1:40">
      <c r="A10" s="91">
        <v>22</v>
      </c>
      <c r="B10" s="93" t="s">
        <v>106</v>
      </c>
      <c r="C10" s="93" t="s">
        <v>95</v>
      </c>
      <c r="D10" s="94" t="s">
        <v>107</v>
      </c>
      <c r="E10" s="94" t="s">
        <v>16</v>
      </c>
      <c r="F10" s="94" t="s">
        <v>108</v>
      </c>
      <c r="G10" s="94">
        <v>0</v>
      </c>
      <c r="H10" s="94">
        <v>3</v>
      </c>
      <c r="I10" s="94">
        <v>1</v>
      </c>
      <c r="J10" s="95">
        <v>0</v>
      </c>
      <c r="K10" s="91">
        <v>4</v>
      </c>
      <c r="L10" s="93" t="s">
        <v>109</v>
      </c>
      <c r="M10" s="93" t="s">
        <v>83</v>
      </c>
      <c r="N10" s="94" t="s">
        <v>110</v>
      </c>
      <c r="O10" s="94" t="s">
        <v>22</v>
      </c>
      <c r="P10" s="94"/>
      <c r="Q10" s="94">
        <v>0</v>
      </c>
      <c r="R10" s="94">
        <v>3</v>
      </c>
      <c r="S10" s="94">
        <v>1</v>
      </c>
      <c r="T10" s="95">
        <v>0</v>
      </c>
      <c r="U10" s="91">
        <v>10</v>
      </c>
      <c r="V10" s="93" t="s">
        <v>111</v>
      </c>
      <c r="W10" s="93" t="s">
        <v>16</v>
      </c>
      <c r="X10" s="94" t="s">
        <v>112</v>
      </c>
      <c r="Y10" s="94" t="s">
        <v>95</v>
      </c>
      <c r="Z10" s="94"/>
      <c r="AA10" s="94">
        <v>0</v>
      </c>
      <c r="AB10" s="94">
        <v>3</v>
      </c>
      <c r="AC10" s="94">
        <v>1</v>
      </c>
      <c r="AD10" s="95">
        <v>0</v>
      </c>
      <c r="AE10" s="91">
        <v>16</v>
      </c>
      <c r="AF10" s="93" t="s">
        <v>113</v>
      </c>
      <c r="AG10" s="93" t="s">
        <v>16</v>
      </c>
      <c r="AH10" s="94" t="s">
        <v>114</v>
      </c>
      <c r="AI10" s="94" t="s">
        <v>83</v>
      </c>
      <c r="AJ10" s="94" t="s">
        <v>115</v>
      </c>
      <c r="AK10" s="94">
        <v>3</v>
      </c>
      <c r="AL10" s="94">
        <v>0</v>
      </c>
      <c r="AM10" s="94">
        <v>0</v>
      </c>
      <c r="AN10" s="96">
        <v>1</v>
      </c>
    </row>
    <row r="11" spans="1:40">
      <c r="A11" s="97">
        <v>23</v>
      </c>
      <c r="B11" s="98" t="s">
        <v>116</v>
      </c>
      <c r="C11" s="98" t="s">
        <v>83</v>
      </c>
      <c r="D11" s="99" t="s">
        <v>117</v>
      </c>
      <c r="E11" s="99" t="s">
        <v>83</v>
      </c>
      <c r="F11" s="99"/>
      <c r="G11" s="99">
        <v>3</v>
      </c>
      <c r="H11" s="99">
        <v>0</v>
      </c>
      <c r="I11" s="99">
        <v>0</v>
      </c>
      <c r="J11" s="100">
        <v>1</v>
      </c>
      <c r="K11" s="97">
        <v>5</v>
      </c>
      <c r="L11" s="98" t="s">
        <v>118</v>
      </c>
      <c r="M11" s="98" t="s">
        <v>16</v>
      </c>
      <c r="N11" s="99" t="s">
        <v>119</v>
      </c>
      <c r="O11" s="99" t="s">
        <v>120</v>
      </c>
      <c r="P11" s="99"/>
      <c r="Q11" s="99">
        <v>3</v>
      </c>
      <c r="R11" s="99">
        <v>0</v>
      </c>
      <c r="S11" s="99">
        <v>1</v>
      </c>
      <c r="T11" s="100">
        <v>0</v>
      </c>
      <c r="U11" s="97">
        <v>11</v>
      </c>
      <c r="V11" s="98" t="s">
        <v>121</v>
      </c>
      <c r="W11" s="98" t="s">
        <v>73</v>
      </c>
      <c r="X11" s="99" t="s">
        <v>75</v>
      </c>
      <c r="Y11" s="99" t="s">
        <v>73</v>
      </c>
      <c r="Z11" s="99"/>
      <c r="AA11" s="99">
        <v>1</v>
      </c>
      <c r="AB11" s="99">
        <v>1</v>
      </c>
      <c r="AC11" s="99">
        <v>0</v>
      </c>
      <c r="AD11" s="100">
        <v>0</v>
      </c>
      <c r="AE11" s="97">
        <v>17</v>
      </c>
      <c r="AF11" s="98" t="s">
        <v>122</v>
      </c>
      <c r="AG11" s="98" t="s">
        <v>73</v>
      </c>
      <c r="AH11" s="99" t="s">
        <v>123</v>
      </c>
      <c r="AI11" s="99" t="s">
        <v>124</v>
      </c>
      <c r="AJ11" s="99"/>
      <c r="AK11" s="99">
        <v>3</v>
      </c>
      <c r="AL11" s="99">
        <v>0</v>
      </c>
      <c r="AM11" s="99">
        <v>1</v>
      </c>
      <c r="AN11" s="101">
        <v>0</v>
      </c>
    </row>
    <row r="12" spans="1:40">
      <c r="A12" s="102">
        <v>24</v>
      </c>
      <c r="B12" s="98" t="s">
        <v>125</v>
      </c>
      <c r="C12" s="98" t="s">
        <v>73</v>
      </c>
      <c r="D12" s="99" t="s">
        <v>126</v>
      </c>
      <c r="E12" s="99" t="s">
        <v>73</v>
      </c>
      <c r="F12" s="99"/>
      <c r="G12" s="99">
        <v>3</v>
      </c>
      <c r="H12" s="99">
        <v>0</v>
      </c>
      <c r="I12" s="99">
        <v>1</v>
      </c>
      <c r="J12" s="100">
        <v>0</v>
      </c>
      <c r="K12" s="102">
        <v>6</v>
      </c>
      <c r="L12" s="98" t="s">
        <v>127</v>
      </c>
      <c r="M12" s="98" t="s">
        <v>79</v>
      </c>
      <c r="N12" s="99" t="s">
        <v>128</v>
      </c>
      <c r="O12" s="99" t="s">
        <v>83</v>
      </c>
      <c r="P12" s="99"/>
      <c r="Q12" s="99">
        <v>0</v>
      </c>
      <c r="R12" s="99">
        <v>3</v>
      </c>
      <c r="S12" s="99">
        <v>0</v>
      </c>
      <c r="T12" s="100">
        <v>1</v>
      </c>
      <c r="U12" s="102">
        <v>12</v>
      </c>
      <c r="V12" s="98" t="s">
        <v>129</v>
      </c>
      <c r="W12" s="98" t="s">
        <v>71</v>
      </c>
      <c r="X12" s="99" t="s">
        <v>130</v>
      </c>
      <c r="Y12" s="99" t="s">
        <v>71</v>
      </c>
      <c r="Z12" s="99"/>
      <c r="AA12" s="99">
        <v>3</v>
      </c>
      <c r="AB12" s="99">
        <v>0</v>
      </c>
      <c r="AC12" s="99">
        <v>1</v>
      </c>
      <c r="AD12" s="100">
        <v>0</v>
      </c>
      <c r="AE12" s="103">
        <v>18</v>
      </c>
      <c r="AF12" s="104" t="s">
        <v>131</v>
      </c>
      <c r="AG12" s="104" t="s">
        <v>71</v>
      </c>
      <c r="AH12" s="99" t="s">
        <v>132</v>
      </c>
      <c r="AI12" s="99" t="s">
        <v>76</v>
      </c>
      <c r="AJ12" s="99" t="s">
        <v>132</v>
      </c>
      <c r="AK12" s="99">
        <v>3</v>
      </c>
      <c r="AL12" s="99">
        <v>0</v>
      </c>
      <c r="AM12" s="99">
        <v>1</v>
      </c>
      <c r="AN12" s="101">
        <v>0</v>
      </c>
    </row>
    <row r="13" spans="1:40">
      <c r="A13" s="172" t="s">
        <v>101</v>
      </c>
      <c r="B13" s="176"/>
      <c r="C13" s="106"/>
      <c r="D13" s="99"/>
      <c r="E13" s="99"/>
      <c r="F13" s="99"/>
      <c r="G13" s="99">
        <v>1</v>
      </c>
      <c r="H13" s="99"/>
      <c r="I13" s="174"/>
      <c r="J13" s="175"/>
      <c r="K13" s="172" t="s">
        <v>101</v>
      </c>
      <c r="L13" s="176"/>
      <c r="M13" s="106"/>
      <c r="N13" s="99"/>
      <c r="O13" s="99"/>
      <c r="P13" s="99"/>
      <c r="Q13" s="99"/>
      <c r="R13" s="99">
        <v>1</v>
      </c>
      <c r="S13" s="174"/>
      <c r="T13" s="175"/>
      <c r="U13" s="172" t="s">
        <v>101</v>
      </c>
      <c r="V13" s="176"/>
      <c r="W13" s="106"/>
      <c r="X13" s="99"/>
      <c r="Y13" s="99"/>
      <c r="Z13" s="99"/>
      <c r="AA13" s="99"/>
      <c r="AB13" s="99"/>
      <c r="AC13" s="174"/>
      <c r="AD13" s="177"/>
      <c r="AE13" s="178" t="s">
        <v>101</v>
      </c>
      <c r="AF13" s="179"/>
      <c r="AG13" s="108"/>
      <c r="AH13" s="98"/>
      <c r="AI13" s="98"/>
      <c r="AJ13" s="98"/>
      <c r="AK13" s="99">
        <v>1</v>
      </c>
      <c r="AL13" s="99"/>
      <c r="AM13" s="174"/>
      <c r="AN13" s="175"/>
    </row>
    <row r="14" spans="1:40" s="1" customFormat="1">
      <c r="A14" s="187"/>
      <c r="B14" s="188"/>
      <c r="C14" s="188"/>
      <c r="D14" s="188"/>
      <c r="E14" s="114"/>
      <c r="F14" s="114"/>
      <c r="G14" s="114">
        <f>SUM(G10:G13)</f>
        <v>7</v>
      </c>
      <c r="H14" s="114">
        <f t="shared" ref="H14:J14" si="4">SUM(H10:H13)</f>
        <v>3</v>
      </c>
      <c r="I14" s="114">
        <f t="shared" si="4"/>
        <v>2</v>
      </c>
      <c r="J14" s="115">
        <f t="shared" si="4"/>
        <v>1</v>
      </c>
      <c r="K14" s="187"/>
      <c r="L14" s="188"/>
      <c r="M14" s="188"/>
      <c r="N14" s="188"/>
      <c r="O14" s="114"/>
      <c r="P14" s="114"/>
      <c r="Q14" s="114">
        <f>SUM(Q10:Q13)</f>
        <v>3</v>
      </c>
      <c r="R14" s="114">
        <f>SUM(R10:R13)</f>
        <v>7</v>
      </c>
      <c r="S14" s="114">
        <f>SUM(S10:S13)</f>
        <v>2</v>
      </c>
      <c r="T14" s="116">
        <f>SUM(T10:T13)</f>
        <v>1</v>
      </c>
      <c r="U14" s="189"/>
      <c r="V14" s="188"/>
      <c r="W14" s="188"/>
      <c r="X14" s="188"/>
      <c r="Y14" s="114"/>
      <c r="Z14" s="114"/>
      <c r="AA14" s="114">
        <f>SUM(AA10:AA13)</f>
        <v>4</v>
      </c>
      <c r="AB14" s="114">
        <f t="shared" ref="AB14:AD14" si="5">SUM(AB10:AB13)</f>
        <v>4</v>
      </c>
      <c r="AC14" s="114">
        <f t="shared" si="5"/>
        <v>2</v>
      </c>
      <c r="AD14" s="116">
        <f t="shared" si="5"/>
        <v>0</v>
      </c>
      <c r="AE14" s="190"/>
      <c r="AF14" s="191"/>
      <c r="AG14" s="191"/>
      <c r="AH14" s="188"/>
      <c r="AI14" s="114"/>
      <c r="AJ14" s="114"/>
      <c r="AK14" s="114">
        <f>SUM(AK10:AK13)</f>
        <v>10</v>
      </c>
      <c r="AL14" s="114">
        <f t="shared" ref="AL14:AN14" si="6">SUM(AL10:AL13)</f>
        <v>0</v>
      </c>
      <c r="AM14" s="114">
        <f t="shared" si="6"/>
        <v>2</v>
      </c>
      <c r="AN14" s="116">
        <f t="shared" si="6"/>
        <v>1</v>
      </c>
    </row>
    <row r="16" spans="1:40">
      <c r="A16" t="s">
        <v>133</v>
      </c>
      <c r="I16" t="s">
        <v>134</v>
      </c>
    </row>
    <row r="17" spans="1:12">
      <c r="A17" t="s">
        <v>59</v>
      </c>
      <c r="B17" t="s">
        <v>65</v>
      </c>
      <c r="D17" t="s">
        <v>66</v>
      </c>
      <c r="I17" t="s">
        <v>65</v>
      </c>
      <c r="J17" t="s">
        <v>66</v>
      </c>
    </row>
    <row r="18" spans="1:12">
      <c r="A18" s="12" t="s">
        <v>135</v>
      </c>
    </row>
    <row r="19" spans="1:12">
      <c r="A19" s="12" t="s">
        <v>136</v>
      </c>
    </row>
    <row r="20" spans="1:12">
      <c r="A20" s="12" t="s">
        <v>102</v>
      </c>
    </row>
    <row r="21" spans="1:12">
      <c r="A21" s="12" t="s">
        <v>52</v>
      </c>
      <c r="F21" t="s">
        <v>137</v>
      </c>
      <c r="H21" t="s">
        <v>138</v>
      </c>
      <c r="J21" t="s">
        <v>139</v>
      </c>
      <c r="L21" t="s">
        <v>140</v>
      </c>
    </row>
    <row r="22" spans="1:12">
      <c r="F22" t="s">
        <v>49</v>
      </c>
      <c r="H22" t="s">
        <v>56</v>
      </c>
      <c r="J22" t="s">
        <v>21</v>
      </c>
      <c r="L22" t="s">
        <v>141</v>
      </c>
    </row>
    <row r="23" spans="1:12">
      <c r="A23" t="s">
        <v>60</v>
      </c>
      <c r="F23" t="s">
        <v>136</v>
      </c>
      <c r="H23" t="s">
        <v>142</v>
      </c>
      <c r="J23" t="s">
        <v>143</v>
      </c>
      <c r="L23" t="s">
        <v>144</v>
      </c>
    </row>
    <row r="24" spans="1:12">
      <c r="A24" t="s">
        <v>56</v>
      </c>
      <c r="F24" s="6" t="s">
        <v>145</v>
      </c>
      <c r="H24" t="s">
        <v>146</v>
      </c>
      <c r="J24" t="s">
        <v>147</v>
      </c>
      <c r="L24" t="s">
        <v>105</v>
      </c>
    </row>
    <row r="25" spans="1:12">
      <c r="A25" t="s">
        <v>142</v>
      </c>
      <c r="F25" t="s">
        <v>52</v>
      </c>
      <c r="H25" t="s">
        <v>67</v>
      </c>
      <c r="J25" s="6" t="s">
        <v>68</v>
      </c>
      <c r="L25" t="s">
        <v>69</v>
      </c>
    </row>
    <row r="26" spans="1:12">
      <c r="A26" t="s">
        <v>146</v>
      </c>
    </row>
    <row r="27" spans="1:12">
      <c r="A27" t="s">
        <v>67</v>
      </c>
    </row>
    <row r="29" spans="1:12">
      <c r="A29" t="s">
        <v>61</v>
      </c>
    </row>
    <row r="30" spans="1:12">
      <c r="A30" t="s">
        <v>21</v>
      </c>
    </row>
    <row r="31" spans="1:12">
      <c r="A31" t="s">
        <v>143</v>
      </c>
    </row>
    <row r="32" spans="1:12">
      <c r="A32" t="s">
        <v>147</v>
      </c>
    </row>
    <row r="33" spans="1:1">
      <c r="A33" s="6" t="s">
        <v>68</v>
      </c>
    </row>
    <row r="35" spans="1:1">
      <c r="A35" t="s">
        <v>62</v>
      </c>
    </row>
    <row r="36" spans="1:1">
      <c r="A36" t="s">
        <v>141</v>
      </c>
    </row>
    <row r="37" spans="1:1">
      <c r="A37" t="s">
        <v>144</v>
      </c>
    </row>
    <row r="38" spans="1:1">
      <c r="A38" t="s">
        <v>105</v>
      </c>
    </row>
    <row r="39" spans="1:1">
      <c r="A39" t="s">
        <v>69</v>
      </c>
    </row>
  </sheetData>
  <mergeCells count="28">
    <mergeCell ref="AM13:AN13"/>
    <mergeCell ref="A14:D14"/>
    <mergeCell ref="K14:N14"/>
    <mergeCell ref="U14:X14"/>
    <mergeCell ref="AE14:AH14"/>
    <mergeCell ref="A13:B13"/>
    <mergeCell ref="I13:J13"/>
    <mergeCell ref="K13:L13"/>
    <mergeCell ref="S13:T13"/>
    <mergeCell ref="U13:V13"/>
    <mergeCell ref="AC13:AD13"/>
    <mergeCell ref="A8:D8"/>
    <mergeCell ref="K8:N8"/>
    <mergeCell ref="U8:X8"/>
    <mergeCell ref="AE8:AH8"/>
    <mergeCell ref="AE13:AF13"/>
    <mergeCell ref="A2:J2"/>
    <mergeCell ref="K2:T2"/>
    <mergeCell ref="U2:AD2"/>
    <mergeCell ref="AE2:AN2"/>
    <mergeCell ref="A7:B7"/>
    <mergeCell ref="I7:J7"/>
    <mergeCell ref="K7:L7"/>
    <mergeCell ref="S7:T7"/>
    <mergeCell ref="U7:V7"/>
    <mergeCell ref="AC7:AD7"/>
    <mergeCell ref="AE7:AF7"/>
    <mergeCell ref="AM7:AN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7653-1328-4AFB-A379-A4607D341424}">
  <dimension ref="A1:AN48"/>
  <sheetViews>
    <sheetView topLeftCell="A8" workbookViewId="0">
      <selection activeCell="A19" sqref="A19:XFD21"/>
    </sheetView>
  </sheetViews>
  <sheetFormatPr defaultRowHeight="15"/>
  <cols>
    <col min="1" max="1" width="19.5703125" bestFit="1" customWidth="1"/>
    <col min="2" max="2" width="17.42578125" bestFit="1" customWidth="1"/>
    <col min="3" max="3" width="8.7109375" bestFit="1" customWidth="1"/>
    <col min="4" max="4" width="12.42578125" bestFit="1" customWidth="1"/>
    <col min="5" max="5" width="5.7109375" bestFit="1" customWidth="1"/>
    <col min="6" max="6" width="9" customWidth="1"/>
    <col min="7" max="7" width="7.42578125" bestFit="1" customWidth="1"/>
    <col min="8" max="8" width="6.42578125" bestFit="1" customWidth="1"/>
    <col min="9" max="9" width="10.7109375" bestFit="1" customWidth="1"/>
    <col min="10" max="10" width="10" bestFit="1" customWidth="1"/>
    <col min="11" max="11" width="5.7109375" bestFit="1" customWidth="1"/>
    <col min="12" max="12" width="12.42578125" bestFit="1" customWidth="1"/>
    <col min="13" max="13" width="5.85546875" bestFit="1" customWidth="1"/>
    <col min="14" max="14" width="12.140625" bestFit="1" customWidth="1"/>
    <col min="15" max="15" width="5.7109375" bestFit="1" customWidth="1"/>
    <col min="16" max="16" width="9.140625" customWidth="1"/>
    <col min="17" max="18" width="6.42578125" bestFit="1" customWidth="1"/>
    <col min="19" max="20" width="10" bestFit="1" customWidth="1"/>
    <col min="21" max="21" width="5.7109375" bestFit="1" customWidth="1"/>
    <col min="22" max="22" width="19.5703125" bestFit="1" customWidth="1"/>
    <col min="23" max="23" width="5.7109375" bestFit="1" customWidth="1"/>
    <col min="24" max="24" width="11.85546875" bestFit="1" customWidth="1"/>
    <col min="25" max="25" width="5.7109375" bestFit="1" customWidth="1"/>
    <col min="26" max="26" width="11.85546875" customWidth="1"/>
    <col min="27" max="28" width="6.42578125" bestFit="1" customWidth="1"/>
    <col min="29" max="30" width="10" bestFit="1" customWidth="1"/>
    <col min="31" max="31" width="5.7109375" bestFit="1" customWidth="1"/>
    <col min="32" max="32" width="14.7109375" bestFit="1" customWidth="1"/>
    <col min="33" max="33" width="6.85546875" bestFit="1" customWidth="1"/>
    <col min="34" max="34" width="18.140625" bestFit="1" customWidth="1"/>
    <col min="35" max="35" width="5.7109375" bestFit="1" customWidth="1"/>
    <col min="36" max="36" width="9.42578125" customWidth="1"/>
    <col min="37" max="38" width="6.42578125" bestFit="1" customWidth="1"/>
    <col min="39" max="40" width="10" bestFit="1" customWidth="1"/>
  </cols>
  <sheetData>
    <row r="1" spans="1:40">
      <c r="A1" t="s">
        <v>148</v>
      </c>
      <c r="B1" t="s">
        <v>149</v>
      </c>
      <c r="G1" t="s">
        <v>150</v>
      </c>
    </row>
    <row r="2" spans="1:40">
      <c r="A2" t="s">
        <v>151</v>
      </c>
      <c r="B2" s="79"/>
      <c r="C2" s="79"/>
      <c r="D2" s="79"/>
      <c r="E2" s="79"/>
      <c r="F2" s="79"/>
      <c r="G2" s="79">
        <v>123</v>
      </c>
      <c r="H2" s="79"/>
      <c r="I2" s="79"/>
      <c r="J2" s="79"/>
    </row>
    <row r="3" spans="1:40">
      <c r="B3" s="79"/>
      <c r="C3" s="79"/>
      <c r="D3" s="79"/>
      <c r="E3" s="79"/>
      <c r="F3" s="79"/>
      <c r="G3">
        <v>456</v>
      </c>
    </row>
    <row r="4" spans="1:40">
      <c r="B4" s="79"/>
      <c r="C4" s="79"/>
      <c r="D4" s="79"/>
      <c r="E4" s="79"/>
      <c r="F4" s="79"/>
      <c r="G4">
        <v>789</v>
      </c>
    </row>
    <row r="5" spans="1:40">
      <c r="B5" s="79"/>
      <c r="C5" s="79"/>
      <c r="D5" s="79"/>
      <c r="E5" s="79"/>
      <c r="F5" s="79"/>
      <c r="G5">
        <v>101112</v>
      </c>
    </row>
    <row r="6" spans="1:40">
      <c r="B6" s="79"/>
      <c r="C6" s="79"/>
      <c r="D6" s="79"/>
      <c r="E6" s="79"/>
      <c r="F6" s="79"/>
      <c r="G6">
        <v>131415</v>
      </c>
    </row>
    <row r="7" spans="1:40">
      <c r="B7" s="79"/>
      <c r="C7" s="79"/>
      <c r="D7" s="87"/>
      <c r="E7" s="79"/>
      <c r="F7" s="79"/>
      <c r="G7">
        <v>161718</v>
      </c>
    </row>
    <row r="8" spans="1:40">
      <c r="B8" s="87"/>
      <c r="G8">
        <v>192021</v>
      </c>
    </row>
    <row r="9" spans="1:40">
      <c r="G9">
        <v>222324</v>
      </c>
    </row>
    <row r="10" spans="1:4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40">
      <c r="A11" s="166" t="s">
        <v>59</v>
      </c>
      <c r="B11" s="167"/>
      <c r="C11" s="167"/>
      <c r="D11" s="167"/>
      <c r="E11" s="167"/>
      <c r="F11" s="167"/>
      <c r="G11" s="167"/>
      <c r="H11" s="167"/>
      <c r="I11" s="167"/>
      <c r="J11" s="168"/>
      <c r="K11" s="166" t="s">
        <v>60</v>
      </c>
      <c r="L11" s="167"/>
      <c r="M11" s="167"/>
      <c r="N11" s="167"/>
      <c r="O11" s="167"/>
      <c r="P11" s="167"/>
      <c r="Q11" s="167"/>
      <c r="R11" s="167"/>
      <c r="S11" s="167"/>
      <c r="T11" s="168"/>
      <c r="U11" s="169" t="s">
        <v>61</v>
      </c>
      <c r="V11" s="170"/>
      <c r="W11" s="170"/>
      <c r="X11" s="170"/>
      <c r="Y11" s="170"/>
      <c r="Z11" s="170"/>
      <c r="AA11" s="170"/>
      <c r="AB11" s="170"/>
      <c r="AC11" s="170"/>
      <c r="AD11" s="171"/>
      <c r="AE11" s="169" t="s">
        <v>62</v>
      </c>
      <c r="AF11" s="170"/>
      <c r="AG11" s="170"/>
      <c r="AH11" s="170"/>
      <c r="AI11" s="170"/>
      <c r="AJ11" s="170"/>
      <c r="AK11" s="170"/>
      <c r="AL11" s="170"/>
      <c r="AM11" s="170"/>
      <c r="AN11" s="171"/>
    </row>
    <row r="12" spans="1:40">
      <c r="A12" s="80" t="s">
        <v>1</v>
      </c>
      <c r="B12" s="81" t="str">
        <f>A28</f>
        <v>England</v>
      </c>
      <c r="C12" s="81" t="s">
        <v>63</v>
      </c>
      <c r="D12" s="82" t="s">
        <v>52</v>
      </c>
      <c r="E12" s="82" t="s">
        <v>63</v>
      </c>
      <c r="F12" s="82" t="s">
        <v>64</v>
      </c>
      <c r="G12" s="83" t="s">
        <v>65</v>
      </c>
      <c r="H12" s="83" t="s">
        <v>65</v>
      </c>
      <c r="I12" s="83" t="s">
        <v>66</v>
      </c>
      <c r="J12" s="84" t="s">
        <v>66</v>
      </c>
      <c r="K12" s="80" t="s">
        <v>1</v>
      </c>
      <c r="L12" s="81" t="str">
        <f>A33</f>
        <v>Denmark</v>
      </c>
      <c r="M12" s="81" t="s">
        <v>63</v>
      </c>
      <c r="N12" s="82" t="s">
        <v>146</v>
      </c>
      <c r="O12" s="82" t="s">
        <v>63</v>
      </c>
      <c r="P12" s="82" t="s">
        <v>64</v>
      </c>
      <c r="Q12" s="83" t="s">
        <v>65</v>
      </c>
      <c r="R12" s="83" t="s">
        <v>65</v>
      </c>
      <c r="S12" s="83" t="s">
        <v>66</v>
      </c>
      <c r="T12" s="84" t="s">
        <v>66</v>
      </c>
      <c r="U12" s="85" t="s">
        <v>1</v>
      </c>
      <c r="V12" s="86" t="str">
        <f>A39</f>
        <v>Germany</v>
      </c>
      <c r="W12" s="86" t="s">
        <v>63</v>
      </c>
      <c r="X12" s="87" t="s">
        <v>104</v>
      </c>
      <c r="Y12" s="87" t="s">
        <v>63</v>
      </c>
      <c r="Z12" s="82" t="s">
        <v>64</v>
      </c>
      <c r="AA12" s="88" t="s">
        <v>65</v>
      </c>
      <c r="AB12" s="88" t="s">
        <v>65</v>
      </c>
      <c r="AC12" s="88" t="s">
        <v>66</v>
      </c>
      <c r="AD12" s="89" t="s">
        <v>66</v>
      </c>
      <c r="AE12" s="85" t="s">
        <v>1</v>
      </c>
      <c r="AF12" s="86" t="str">
        <f>A45</f>
        <v>Spain</v>
      </c>
      <c r="AG12" s="86" t="s">
        <v>63</v>
      </c>
      <c r="AH12" s="87" t="s">
        <v>152</v>
      </c>
      <c r="AI12" s="87" t="s">
        <v>63</v>
      </c>
      <c r="AJ12" s="82" t="s">
        <v>64</v>
      </c>
      <c r="AK12" s="88" t="s">
        <v>65</v>
      </c>
      <c r="AL12" s="88" t="s">
        <v>65</v>
      </c>
      <c r="AM12" s="88" t="s">
        <v>66</v>
      </c>
      <c r="AN12" s="90" t="s">
        <v>66</v>
      </c>
    </row>
    <row r="13" spans="1:40">
      <c r="A13" s="91">
        <v>1</v>
      </c>
      <c r="B13" s="92" t="s">
        <v>116</v>
      </c>
      <c r="C13" s="93" t="s">
        <v>153</v>
      </c>
      <c r="D13" s="94" t="s">
        <v>72</v>
      </c>
      <c r="E13" s="94" t="s">
        <v>76</v>
      </c>
      <c r="F13" s="94"/>
      <c r="G13" s="94">
        <v>3</v>
      </c>
      <c r="H13" s="94">
        <v>0</v>
      </c>
      <c r="I13" s="94">
        <v>1</v>
      </c>
      <c r="J13" s="95">
        <v>0</v>
      </c>
      <c r="K13" s="91">
        <v>7</v>
      </c>
      <c r="L13" s="93" t="s">
        <v>94</v>
      </c>
      <c r="M13" s="93" t="s">
        <v>154</v>
      </c>
      <c r="N13" s="94" t="s">
        <v>128</v>
      </c>
      <c r="O13" s="94" t="s">
        <v>153</v>
      </c>
      <c r="P13" s="94"/>
      <c r="Q13" s="94">
        <v>0</v>
      </c>
      <c r="R13" s="94">
        <v>3</v>
      </c>
      <c r="S13" s="94">
        <v>0</v>
      </c>
      <c r="T13" s="95">
        <v>1</v>
      </c>
      <c r="U13" s="91">
        <v>13</v>
      </c>
      <c r="V13" s="93" t="s">
        <v>77</v>
      </c>
      <c r="W13" s="93" t="s">
        <v>155</v>
      </c>
      <c r="X13" s="94" t="s">
        <v>116</v>
      </c>
      <c r="Y13" s="94" t="s">
        <v>155</v>
      </c>
      <c r="Z13" s="94"/>
      <c r="AA13" s="94">
        <v>3</v>
      </c>
      <c r="AB13" s="94">
        <v>0</v>
      </c>
      <c r="AC13" s="94">
        <v>1</v>
      </c>
      <c r="AD13" s="95">
        <v>0</v>
      </c>
      <c r="AE13" s="91">
        <v>19</v>
      </c>
      <c r="AF13" s="93" t="s">
        <v>80</v>
      </c>
      <c r="AG13" s="93" t="s">
        <v>71</v>
      </c>
      <c r="AH13" s="94" t="s">
        <v>132</v>
      </c>
      <c r="AI13" s="94" t="s">
        <v>71</v>
      </c>
      <c r="AJ13" s="94"/>
      <c r="AK13" s="94">
        <v>3</v>
      </c>
      <c r="AL13" s="94">
        <v>0</v>
      </c>
      <c r="AM13" s="94">
        <v>1</v>
      </c>
      <c r="AN13" s="96">
        <v>0</v>
      </c>
    </row>
    <row r="14" spans="1:40">
      <c r="A14" s="97">
        <v>2</v>
      </c>
      <c r="B14" s="98" t="s">
        <v>156</v>
      </c>
      <c r="C14" s="98" t="s">
        <v>87</v>
      </c>
      <c r="D14" s="99" t="s">
        <v>93</v>
      </c>
      <c r="E14" s="99" t="s">
        <v>155</v>
      </c>
      <c r="F14" s="99"/>
      <c r="G14" s="99">
        <v>3</v>
      </c>
      <c r="H14" s="99">
        <v>0</v>
      </c>
      <c r="I14" s="99">
        <v>1</v>
      </c>
      <c r="J14" s="100">
        <v>0</v>
      </c>
      <c r="K14" s="97">
        <v>8</v>
      </c>
      <c r="L14" s="98" t="s">
        <v>157</v>
      </c>
      <c r="M14" s="98" t="s">
        <v>87</v>
      </c>
      <c r="N14" s="99" t="s">
        <v>158</v>
      </c>
      <c r="O14" s="99" t="s">
        <v>159</v>
      </c>
      <c r="P14" s="99" t="s">
        <v>157</v>
      </c>
      <c r="Q14" s="99">
        <v>0</v>
      </c>
      <c r="R14" s="99">
        <v>3</v>
      </c>
      <c r="S14" s="99">
        <v>0</v>
      </c>
      <c r="T14" s="100">
        <v>1</v>
      </c>
      <c r="U14" s="97">
        <v>14</v>
      </c>
      <c r="V14" s="98" t="s">
        <v>160</v>
      </c>
      <c r="W14" s="98" t="s">
        <v>87</v>
      </c>
      <c r="X14" s="99" t="s">
        <v>161</v>
      </c>
      <c r="Y14" s="99" t="s">
        <v>76</v>
      </c>
      <c r="Z14" s="99" t="s">
        <v>161</v>
      </c>
      <c r="AA14" s="99">
        <v>0</v>
      </c>
      <c r="AB14" s="99">
        <v>3</v>
      </c>
      <c r="AC14" s="99">
        <v>1</v>
      </c>
      <c r="AD14" s="100">
        <v>0</v>
      </c>
      <c r="AE14" s="97">
        <v>20</v>
      </c>
      <c r="AF14" s="98" t="s">
        <v>99</v>
      </c>
      <c r="AG14" s="98" t="s">
        <v>87</v>
      </c>
      <c r="AH14" s="99" t="s">
        <v>114</v>
      </c>
      <c r="AI14" s="99" t="s">
        <v>83</v>
      </c>
      <c r="AJ14" s="99"/>
      <c r="AK14" s="99">
        <v>3</v>
      </c>
      <c r="AL14" s="99">
        <v>0</v>
      </c>
      <c r="AM14" s="99">
        <v>1</v>
      </c>
      <c r="AN14" s="101">
        <v>0</v>
      </c>
    </row>
    <row r="15" spans="1:40">
      <c r="A15" s="102">
        <v>3</v>
      </c>
      <c r="B15" s="98" t="s">
        <v>162</v>
      </c>
      <c r="C15" s="98" t="s">
        <v>163</v>
      </c>
      <c r="D15" s="99" t="s">
        <v>84</v>
      </c>
      <c r="E15" s="99" t="s">
        <v>153</v>
      </c>
      <c r="F15" s="99"/>
      <c r="G15" s="99">
        <v>3</v>
      </c>
      <c r="H15" s="99">
        <v>0</v>
      </c>
      <c r="I15" s="99">
        <v>0</v>
      </c>
      <c r="J15" s="100">
        <v>0</v>
      </c>
      <c r="K15" s="102">
        <v>9</v>
      </c>
      <c r="L15" s="98" t="s">
        <v>164</v>
      </c>
      <c r="M15" s="98" t="s">
        <v>76</v>
      </c>
      <c r="N15" s="99" t="s">
        <v>165</v>
      </c>
      <c r="O15" s="99" t="s">
        <v>22</v>
      </c>
      <c r="P15" s="99"/>
      <c r="Q15" s="99">
        <v>3</v>
      </c>
      <c r="R15" s="99">
        <v>0</v>
      </c>
      <c r="S15" s="99">
        <v>0</v>
      </c>
      <c r="T15" s="100">
        <v>1</v>
      </c>
      <c r="U15" s="102">
        <v>15</v>
      </c>
      <c r="V15" s="98" t="s">
        <v>166</v>
      </c>
      <c r="W15" s="98" t="s">
        <v>153</v>
      </c>
      <c r="X15" s="99" t="s">
        <v>167</v>
      </c>
      <c r="Y15" s="99" t="s">
        <v>163</v>
      </c>
      <c r="Z15" s="99"/>
      <c r="AA15" s="99">
        <v>3</v>
      </c>
      <c r="AB15" s="99">
        <v>0</v>
      </c>
      <c r="AC15" s="99">
        <v>0</v>
      </c>
      <c r="AD15" s="100">
        <v>1</v>
      </c>
      <c r="AE15" s="103">
        <v>21</v>
      </c>
      <c r="AF15" s="104" t="s">
        <v>90</v>
      </c>
      <c r="AG15" s="104" t="s">
        <v>16</v>
      </c>
      <c r="AH15" s="99" t="s">
        <v>123</v>
      </c>
      <c r="AI15" s="99" t="s">
        <v>124</v>
      </c>
      <c r="AJ15" s="99" t="s">
        <v>168</v>
      </c>
      <c r="AK15" s="99">
        <v>3</v>
      </c>
      <c r="AL15" s="99">
        <v>0</v>
      </c>
      <c r="AM15" s="99">
        <v>1</v>
      </c>
      <c r="AN15" s="101">
        <v>0</v>
      </c>
    </row>
    <row r="16" spans="1:40">
      <c r="A16" s="172" t="s">
        <v>101</v>
      </c>
      <c r="B16" s="173"/>
      <c r="C16" s="105"/>
      <c r="D16" s="99"/>
      <c r="E16" s="99"/>
      <c r="F16" s="99"/>
      <c r="G16" s="99">
        <v>1</v>
      </c>
      <c r="H16" s="99"/>
      <c r="I16" s="174"/>
      <c r="J16" s="175"/>
      <c r="K16" s="172" t="s">
        <v>101</v>
      </c>
      <c r="L16" s="176"/>
      <c r="M16" s="106"/>
      <c r="N16" s="99"/>
      <c r="O16" s="99"/>
      <c r="P16" s="99"/>
      <c r="Q16" s="99"/>
      <c r="R16" s="99">
        <v>1</v>
      </c>
      <c r="S16" s="174"/>
      <c r="T16" s="175"/>
      <c r="U16" s="172" t="s">
        <v>101</v>
      </c>
      <c r="V16" s="176"/>
      <c r="W16" s="106"/>
      <c r="X16" s="99"/>
      <c r="Y16" s="99"/>
      <c r="Z16" s="99"/>
      <c r="AA16" s="99">
        <v>1</v>
      </c>
      <c r="AB16" s="99"/>
      <c r="AC16" s="174"/>
      <c r="AD16" s="177"/>
      <c r="AE16" s="178" t="s">
        <v>101</v>
      </c>
      <c r="AF16" s="179"/>
      <c r="AG16" s="108"/>
      <c r="AH16" s="98"/>
      <c r="AI16" s="98"/>
      <c r="AJ16" s="98"/>
      <c r="AK16" s="99">
        <v>1</v>
      </c>
      <c r="AL16" s="99"/>
      <c r="AM16" s="174"/>
      <c r="AN16" s="175"/>
    </row>
    <row r="17" spans="1:40">
      <c r="A17" s="180"/>
      <c r="B17" s="181"/>
      <c r="C17" s="181"/>
      <c r="D17" s="181"/>
      <c r="E17" s="109"/>
      <c r="F17" s="109"/>
      <c r="G17" s="110">
        <f>SUM(G13:G16)</f>
        <v>10</v>
      </c>
      <c r="H17" s="110">
        <f t="shared" ref="H17:I17" si="0">SUM(H13:H16)</f>
        <v>0</v>
      </c>
      <c r="I17" s="110">
        <f t="shared" si="0"/>
        <v>2</v>
      </c>
      <c r="J17" s="111">
        <f>SUM(J13:J16)</f>
        <v>0</v>
      </c>
      <c r="K17" s="182"/>
      <c r="L17" s="183"/>
      <c r="M17" s="183"/>
      <c r="N17" s="183"/>
      <c r="O17" s="110"/>
      <c r="P17" s="110"/>
      <c r="Q17" s="110">
        <f>SUM(Q13:Q16)</f>
        <v>3</v>
      </c>
      <c r="R17" s="110">
        <f t="shared" ref="R17:T17" si="1">SUM(R13:R16)</f>
        <v>7</v>
      </c>
      <c r="S17" s="110">
        <f t="shared" si="1"/>
        <v>0</v>
      </c>
      <c r="T17" s="112">
        <f t="shared" si="1"/>
        <v>3</v>
      </c>
      <c r="U17" s="184"/>
      <c r="V17" s="183"/>
      <c r="W17" s="183"/>
      <c r="X17" s="183"/>
      <c r="Y17" s="110"/>
      <c r="Z17" s="110"/>
      <c r="AA17" s="110">
        <f>SUM(AA13:AA16)</f>
        <v>7</v>
      </c>
      <c r="AB17" s="110">
        <f t="shared" ref="AB17:AD17" si="2">SUM(AB13:AB16)</f>
        <v>3</v>
      </c>
      <c r="AC17" s="110">
        <f t="shared" si="2"/>
        <v>2</v>
      </c>
      <c r="AD17" s="112">
        <f t="shared" si="2"/>
        <v>1</v>
      </c>
      <c r="AE17" s="185"/>
      <c r="AF17" s="186"/>
      <c r="AG17" s="186"/>
      <c r="AH17" s="183"/>
      <c r="AI17" s="110"/>
      <c r="AJ17" s="110"/>
      <c r="AK17" s="114">
        <f>SUM(AK13:AK16)</f>
        <v>10</v>
      </c>
      <c r="AL17" s="114">
        <f t="shared" ref="AL17:AN17" si="3">SUM(AL13:AL16)</f>
        <v>0</v>
      </c>
      <c r="AM17" s="114">
        <f t="shared" si="3"/>
        <v>3</v>
      </c>
      <c r="AN17" s="116">
        <f t="shared" si="3"/>
        <v>0</v>
      </c>
    </row>
    <row r="18" spans="1:40">
      <c r="A18" s="113" t="s">
        <v>1</v>
      </c>
      <c r="B18" s="87" t="str">
        <f>A27</f>
        <v>Poland Black Brigade</v>
      </c>
      <c r="C18" s="87" t="s">
        <v>63</v>
      </c>
      <c r="D18" s="87" t="s">
        <v>102</v>
      </c>
      <c r="E18" s="87" t="s">
        <v>63</v>
      </c>
      <c r="F18" s="82" t="s">
        <v>64</v>
      </c>
      <c r="G18" s="88" t="s">
        <v>65</v>
      </c>
      <c r="H18" s="88" t="s">
        <v>65</v>
      </c>
      <c r="I18" s="88" t="s">
        <v>66</v>
      </c>
      <c r="J18" s="89" t="s">
        <v>66</v>
      </c>
      <c r="K18" s="85" t="s">
        <v>1</v>
      </c>
      <c r="L18" s="86" t="str">
        <f>A34</f>
        <v>Scotland</v>
      </c>
      <c r="M18" s="86" t="s">
        <v>63</v>
      </c>
      <c r="N18" s="87" t="s">
        <v>67</v>
      </c>
      <c r="O18" s="87" t="s">
        <v>63</v>
      </c>
      <c r="P18" s="82" t="s">
        <v>64</v>
      </c>
      <c r="Q18" s="88" t="s">
        <v>65</v>
      </c>
      <c r="R18" s="88" t="s">
        <v>65</v>
      </c>
      <c r="S18" s="88" t="s">
        <v>66</v>
      </c>
      <c r="T18" s="89" t="s">
        <v>66</v>
      </c>
      <c r="U18" s="85" t="s">
        <v>1</v>
      </c>
      <c r="V18" s="86" t="str">
        <f>A40</f>
        <v>British Lions</v>
      </c>
      <c r="W18" s="86" t="s">
        <v>63</v>
      </c>
      <c r="X18" s="87" t="s">
        <v>169</v>
      </c>
      <c r="Y18" s="87" t="s">
        <v>63</v>
      </c>
      <c r="Z18" s="82" t="s">
        <v>64</v>
      </c>
      <c r="AA18" s="88" t="s">
        <v>65</v>
      </c>
      <c r="AB18" s="88" t="s">
        <v>65</v>
      </c>
      <c r="AC18" s="88" t="s">
        <v>66</v>
      </c>
      <c r="AD18" s="90" t="s">
        <v>66</v>
      </c>
      <c r="AE18" s="107" t="s">
        <v>1</v>
      </c>
      <c r="AF18" s="86" t="str">
        <f>A46</f>
        <v>Wales</v>
      </c>
      <c r="AG18" s="86" t="s">
        <v>63</v>
      </c>
      <c r="AH18" s="87" t="s">
        <v>69</v>
      </c>
      <c r="AI18" s="87" t="s">
        <v>63</v>
      </c>
      <c r="AJ18" s="82" t="s">
        <v>64</v>
      </c>
      <c r="AK18" s="88" t="s">
        <v>65</v>
      </c>
      <c r="AL18" s="88" t="s">
        <v>65</v>
      </c>
      <c r="AM18" s="88" t="s">
        <v>66</v>
      </c>
      <c r="AN18" s="90" t="s">
        <v>66</v>
      </c>
    </row>
    <row r="19" spans="1:40">
      <c r="A19" s="91">
        <v>4</v>
      </c>
      <c r="B19" s="93" t="s">
        <v>82</v>
      </c>
      <c r="C19" s="93" t="s">
        <v>153</v>
      </c>
      <c r="D19" s="94" t="s">
        <v>117</v>
      </c>
      <c r="E19" s="94" t="s">
        <v>76</v>
      </c>
      <c r="F19" s="94"/>
      <c r="G19" s="94">
        <v>1</v>
      </c>
      <c r="H19" s="94">
        <v>1</v>
      </c>
      <c r="I19" s="94">
        <v>0</v>
      </c>
      <c r="J19" s="95">
        <v>0</v>
      </c>
      <c r="K19" s="91">
        <v>10</v>
      </c>
      <c r="L19" s="93" t="s">
        <v>118</v>
      </c>
      <c r="M19" s="93" t="s">
        <v>155</v>
      </c>
      <c r="N19" s="94" t="s">
        <v>96</v>
      </c>
      <c r="O19" s="94" t="s">
        <v>22</v>
      </c>
      <c r="P19" s="94"/>
      <c r="Q19" s="94">
        <v>3</v>
      </c>
      <c r="R19" s="94">
        <v>0</v>
      </c>
      <c r="S19" s="94">
        <v>1</v>
      </c>
      <c r="T19" s="95">
        <v>0</v>
      </c>
      <c r="U19" s="91">
        <v>16</v>
      </c>
      <c r="V19" s="93" t="s">
        <v>129</v>
      </c>
      <c r="W19" s="93" t="s">
        <v>71</v>
      </c>
      <c r="X19" s="94" t="s">
        <v>170</v>
      </c>
      <c r="Y19" s="94" t="s">
        <v>16</v>
      </c>
      <c r="Z19" s="94"/>
      <c r="AA19" s="94">
        <v>1</v>
      </c>
      <c r="AB19" s="94">
        <v>1</v>
      </c>
      <c r="AC19" s="94">
        <v>1</v>
      </c>
      <c r="AD19" s="95">
        <v>0</v>
      </c>
      <c r="AE19" s="91">
        <v>22</v>
      </c>
      <c r="AF19" s="93" t="s">
        <v>171</v>
      </c>
      <c r="AG19" s="93" t="s">
        <v>71</v>
      </c>
      <c r="AH19" s="94" t="s">
        <v>91</v>
      </c>
      <c r="AI19" s="94" t="s">
        <v>16</v>
      </c>
      <c r="AJ19" s="94"/>
      <c r="AK19" s="94">
        <v>0</v>
      </c>
      <c r="AL19" s="94">
        <v>3</v>
      </c>
      <c r="AM19" s="94">
        <v>0</v>
      </c>
      <c r="AN19" s="96">
        <v>0</v>
      </c>
    </row>
    <row r="20" spans="1:40">
      <c r="A20" s="97">
        <v>5</v>
      </c>
      <c r="B20" s="98" t="s">
        <v>70</v>
      </c>
      <c r="C20" s="98" t="s">
        <v>76</v>
      </c>
      <c r="D20" s="99" t="s">
        <v>172</v>
      </c>
      <c r="E20" s="99" t="s">
        <v>155</v>
      </c>
      <c r="F20" s="99"/>
      <c r="G20" s="99">
        <v>0</v>
      </c>
      <c r="H20" s="99">
        <v>3</v>
      </c>
      <c r="I20" s="99">
        <v>0</v>
      </c>
      <c r="J20" s="100">
        <v>0</v>
      </c>
      <c r="K20" s="97">
        <v>11</v>
      </c>
      <c r="L20" s="98" t="s">
        <v>127</v>
      </c>
      <c r="M20" s="98" t="s">
        <v>154</v>
      </c>
      <c r="N20" s="99" t="s">
        <v>75</v>
      </c>
      <c r="O20" s="99" t="s">
        <v>76</v>
      </c>
      <c r="P20" s="99"/>
      <c r="Q20" s="99">
        <v>3</v>
      </c>
      <c r="R20" s="99">
        <v>0</v>
      </c>
      <c r="S20" s="99">
        <v>1</v>
      </c>
      <c r="T20" s="100">
        <v>0</v>
      </c>
      <c r="U20" s="97">
        <v>17</v>
      </c>
      <c r="V20" s="98" t="s">
        <v>121</v>
      </c>
      <c r="W20" s="98" t="s">
        <v>87</v>
      </c>
      <c r="X20" s="99" t="s">
        <v>173</v>
      </c>
      <c r="Y20" s="99" t="s">
        <v>124</v>
      </c>
      <c r="Z20" s="99"/>
      <c r="AA20" s="99">
        <v>3</v>
      </c>
      <c r="AB20" s="99">
        <v>0</v>
      </c>
      <c r="AC20" s="99">
        <v>1</v>
      </c>
      <c r="AD20" s="100">
        <v>0</v>
      </c>
      <c r="AE20" s="97">
        <v>23</v>
      </c>
      <c r="AF20" s="98" t="s">
        <v>174</v>
      </c>
      <c r="AG20" s="98" t="s">
        <v>16</v>
      </c>
      <c r="AH20" s="99" t="s">
        <v>175</v>
      </c>
      <c r="AI20" s="99" t="s">
        <v>83</v>
      </c>
      <c r="AJ20" s="99"/>
      <c r="AK20" s="99">
        <v>3</v>
      </c>
      <c r="AL20" s="99">
        <v>0</v>
      </c>
      <c r="AM20" s="99">
        <v>1</v>
      </c>
      <c r="AN20" s="101">
        <v>0</v>
      </c>
    </row>
    <row r="21" spans="1:40">
      <c r="A21" s="102">
        <v>6</v>
      </c>
      <c r="B21" s="98" t="s">
        <v>92</v>
      </c>
      <c r="C21" s="98" t="s">
        <v>87</v>
      </c>
      <c r="D21" s="99" t="s">
        <v>126</v>
      </c>
      <c r="E21" s="99" t="s">
        <v>87</v>
      </c>
      <c r="F21" s="99"/>
      <c r="G21" s="99">
        <v>0</v>
      </c>
      <c r="H21" s="99">
        <v>3</v>
      </c>
      <c r="I21" s="99">
        <v>1</v>
      </c>
      <c r="J21" s="100">
        <v>0</v>
      </c>
      <c r="K21" s="102">
        <v>12</v>
      </c>
      <c r="L21" s="98" t="s">
        <v>109</v>
      </c>
      <c r="M21" s="98" t="s">
        <v>153</v>
      </c>
      <c r="N21" s="99" t="s">
        <v>88</v>
      </c>
      <c r="O21" s="99" t="s">
        <v>87</v>
      </c>
      <c r="P21" s="99"/>
      <c r="Q21" s="99">
        <v>3</v>
      </c>
      <c r="R21" s="99">
        <v>0</v>
      </c>
      <c r="S21" s="99">
        <v>1</v>
      </c>
      <c r="T21" s="100">
        <v>0</v>
      </c>
      <c r="U21" s="102">
        <v>18</v>
      </c>
      <c r="V21" s="98" t="s">
        <v>176</v>
      </c>
      <c r="W21" s="98" t="s">
        <v>16</v>
      </c>
      <c r="X21" s="99" t="s">
        <v>23</v>
      </c>
      <c r="Y21" s="99" t="s">
        <v>76</v>
      </c>
      <c r="Z21" s="99" t="s">
        <v>177</v>
      </c>
      <c r="AA21" s="99">
        <v>0</v>
      </c>
      <c r="AB21" s="99">
        <v>3</v>
      </c>
      <c r="AC21" s="99">
        <v>0</v>
      </c>
      <c r="AD21" s="100">
        <v>0</v>
      </c>
      <c r="AE21" s="103">
        <v>24</v>
      </c>
      <c r="AF21" s="104" t="s">
        <v>178</v>
      </c>
      <c r="AG21" s="104" t="s">
        <v>87</v>
      </c>
      <c r="AH21" s="99" t="s">
        <v>81</v>
      </c>
      <c r="AI21" s="99" t="s">
        <v>71</v>
      </c>
      <c r="AJ21" s="99"/>
      <c r="AK21" s="99">
        <v>3</v>
      </c>
      <c r="AL21" s="99">
        <v>0</v>
      </c>
      <c r="AM21" s="99">
        <v>1</v>
      </c>
      <c r="AN21" s="101">
        <v>0</v>
      </c>
    </row>
    <row r="22" spans="1:40">
      <c r="A22" s="172" t="s">
        <v>101</v>
      </c>
      <c r="B22" s="176"/>
      <c r="C22" s="106"/>
      <c r="D22" s="99"/>
      <c r="E22" s="99"/>
      <c r="F22" s="99"/>
      <c r="G22" s="99"/>
      <c r="H22" s="99">
        <v>1</v>
      </c>
      <c r="I22" s="174"/>
      <c r="J22" s="175"/>
      <c r="K22" s="172" t="s">
        <v>101</v>
      </c>
      <c r="L22" s="176"/>
      <c r="M22" s="106"/>
      <c r="N22" s="99"/>
      <c r="O22" s="99"/>
      <c r="P22" s="99"/>
      <c r="Q22" s="99">
        <v>1</v>
      </c>
      <c r="R22" s="99"/>
      <c r="S22" s="174"/>
      <c r="T22" s="175"/>
      <c r="U22" s="172" t="s">
        <v>101</v>
      </c>
      <c r="V22" s="176"/>
      <c r="W22" s="106"/>
      <c r="X22" s="99"/>
      <c r="Y22" s="99"/>
      <c r="Z22" s="99"/>
      <c r="AA22" s="99"/>
      <c r="AB22" s="99"/>
      <c r="AC22" s="174"/>
      <c r="AD22" s="177"/>
      <c r="AE22" s="178" t="s">
        <v>101</v>
      </c>
      <c r="AF22" s="179"/>
      <c r="AG22" s="108"/>
      <c r="AH22" s="98"/>
      <c r="AI22" s="98"/>
      <c r="AJ22" s="98"/>
      <c r="AK22" s="99">
        <v>1</v>
      </c>
      <c r="AL22" s="99"/>
      <c r="AM22" s="174"/>
      <c r="AN22" s="175"/>
    </row>
    <row r="23" spans="1:40">
      <c r="A23" s="187"/>
      <c r="B23" s="188"/>
      <c r="C23" s="188"/>
      <c r="D23" s="188"/>
      <c r="E23" s="114"/>
      <c r="F23" s="114"/>
      <c r="G23" s="114">
        <f>SUM(G19:G22)</f>
        <v>1</v>
      </c>
      <c r="H23" s="114">
        <f t="shared" ref="H23:J23" si="4">SUM(H19:H22)</f>
        <v>8</v>
      </c>
      <c r="I23" s="114">
        <f t="shared" si="4"/>
        <v>1</v>
      </c>
      <c r="J23" s="115">
        <f t="shared" si="4"/>
        <v>0</v>
      </c>
      <c r="K23" s="187"/>
      <c r="L23" s="188"/>
      <c r="M23" s="188"/>
      <c r="N23" s="188"/>
      <c r="O23" s="114"/>
      <c r="P23" s="114"/>
      <c r="Q23" s="114">
        <f>SUM(Q19:Q22)</f>
        <v>10</v>
      </c>
      <c r="R23" s="114">
        <f>SUM(R19:R22)</f>
        <v>0</v>
      </c>
      <c r="S23" s="114">
        <f>SUM(S19:S22)</f>
        <v>3</v>
      </c>
      <c r="T23" s="116">
        <f>SUM(T19:T22)</f>
        <v>0</v>
      </c>
      <c r="U23" s="189"/>
      <c r="V23" s="188"/>
      <c r="W23" s="188"/>
      <c r="X23" s="188"/>
      <c r="Y23" s="114"/>
      <c r="Z23" s="114"/>
      <c r="AA23" s="114">
        <f>SUM(AA19:AA22)</f>
        <v>4</v>
      </c>
      <c r="AB23" s="114">
        <f t="shared" ref="AB23:AD23" si="5">SUM(AB19:AB22)</f>
        <v>4</v>
      </c>
      <c r="AC23" s="114">
        <f t="shared" si="5"/>
        <v>2</v>
      </c>
      <c r="AD23" s="116">
        <f t="shared" si="5"/>
        <v>0</v>
      </c>
      <c r="AE23" s="190"/>
      <c r="AF23" s="191"/>
      <c r="AG23" s="191"/>
      <c r="AH23" s="188"/>
      <c r="AI23" s="114"/>
      <c r="AJ23" s="114"/>
      <c r="AK23" s="114">
        <f>SUM(AK19:AK22)</f>
        <v>7</v>
      </c>
      <c r="AL23" s="114">
        <f t="shared" ref="AL23:AN23" si="6">SUM(AL19:AL22)</f>
        <v>3</v>
      </c>
      <c r="AM23" s="114">
        <f t="shared" si="6"/>
        <v>2</v>
      </c>
      <c r="AN23" s="116">
        <f t="shared" si="6"/>
        <v>0</v>
      </c>
    </row>
    <row r="25" spans="1:40">
      <c r="A25" t="s">
        <v>133</v>
      </c>
    </row>
    <row r="26" spans="1:40">
      <c r="A26" t="s">
        <v>59</v>
      </c>
    </row>
    <row r="27" spans="1:40">
      <c r="A27" s="12" t="s">
        <v>135</v>
      </c>
    </row>
    <row r="28" spans="1:40">
      <c r="A28" s="12" t="s">
        <v>136</v>
      </c>
    </row>
    <row r="29" spans="1:40">
      <c r="A29" s="12" t="s">
        <v>102</v>
      </c>
    </row>
    <row r="30" spans="1:40">
      <c r="A30" s="12" t="s">
        <v>52</v>
      </c>
    </row>
    <row r="32" spans="1:40">
      <c r="A32" t="s">
        <v>60</v>
      </c>
    </row>
    <row r="33" spans="1:1">
      <c r="A33" t="s">
        <v>56</v>
      </c>
    </row>
    <row r="34" spans="1:1">
      <c r="A34" t="s">
        <v>142</v>
      </c>
    </row>
    <row r="35" spans="1:1">
      <c r="A35" t="s">
        <v>146</v>
      </c>
    </row>
    <row r="36" spans="1:1">
      <c r="A36" t="s">
        <v>67</v>
      </c>
    </row>
    <row r="38" spans="1:1">
      <c r="A38" t="s">
        <v>61</v>
      </c>
    </row>
    <row r="39" spans="1:1">
      <c r="A39" t="s">
        <v>21</v>
      </c>
    </row>
    <row r="40" spans="1:1">
      <c r="A40" t="s">
        <v>143</v>
      </c>
    </row>
    <row r="41" spans="1:1">
      <c r="A41" t="s">
        <v>147</v>
      </c>
    </row>
    <row r="42" spans="1:1">
      <c r="A42" s="6" t="s">
        <v>68</v>
      </c>
    </row>
    <row r="44" spans="1:1">
      <c r="A44" t="s">
        <v>62</v>
      </c>
    </row>
    <row r="45" spans="1:1">
      <c r="A45" t="s">
        <v>141</v>
      </c>
    </row>
    <row r="46" spans="1:1">
      <c r="A46" t="s">
        <v>144</v>
      </c>
    </row>
    <row r="47" spans="1:1">
      <c r="A47" t="s">
        <v>105</v>
      </c>
    </row>
    <row r="48" spans="1:1">
      <c r="A48" s="12" t="s">
        <v>69</v>
      </c>
    </row>
  </sheetData>
  <mergeCells count="28">
    <mergeCell ref="A11:J11"/>
    <mergeCell ref="K11:T11"/>
    <mergeCell ref="U11:AD11"/>
    <mergeCell ref="AE11:AN11"/>
    <mergeCell ref="A16:B16"/>
    <mergeCell ref="I16:J16"/>
    <mergeCell ref="K16:L16"/>
    <mergeCell ref="S16:T16"/>
    <mergeCell ref="U16:V16"/>
    <mergeCell ref="AC16:AD16"/>
    <mergeCell ref="AE16:AF16"/>
    <mergeCell ref="AM16:AN16"/>
    <mergeCell ref="A17:D17"/>
    <mergeCell ref="K17:N17"/>
    <mergeCell ref="U17:X17"/>
    <mergeCell ref="AE17:AH17"/>
    <mergeCell ref="AE22:AF22"/>
    <mergeCell ref="AM22:AN22"/>
    <mergeCell ref="A23:D23"/>
    <mergeCell ref="K23:N23"/>
    <mergeCell ref="U23:X23"/>
    <mergeCell ref="AE23:AH23"/>
    <mergeCell ref="A22:B22"/>
    <mergeCell ref="I22:J22"/>
    <mergeCell ref="K22:L22"/>
    <mergeCell ref="S22:T22"/>
    <mergeCell ref="U22:V22"/>
    <mergeCell ref="AC22:A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9CD1-0685-4BCB-9C05-34B712462038}">
  <dimension ref="A1:AN48"/>
  <sheetViews>
    <sheetView topLeftCell="A10" workbookViewId="0">
      <selection activeCell="A19" sqref="A19:XFD21"/>
    </sheetView>
  </sheetViews>
  <sheetFormatPr defaultRowHeight="15"/>
  <cols>
    <col min="2" max="2" width="17.42578125" bestFit="1" customWidth="1"/>
    <col min="4" max="4" width="15.85546875" bestFit="1" customWidth="1"/>
    <col min="12" max="12" width="12.42578125" bestFit="1" customWidth="1"/>
    <col min="14" max="14" width="12.140625" bestFit="1" customWidth="1"/>
    <col min="22" max="22" width="19.5703125" bestFit="1" customWidth="1"/>
    <col min="24" max="24" width="19.5703125" bestFit="1" customWidth="1"/>
    <col min="32" max="32" width="14.7109375" bestFit="1" customWidth="1"/>
    <col min="34" max="34" width="18.140625" bestFit="1" customWidth="1"/>
  </cols>
  <sheetData>
    <row r="1" spans="1:40">
      <c r="B1" t="s">
        <v>179</v>
      </c>
      <c r="G1" t="s">
        <v>150</v>
      </c>
    </row>
    <row r="2" spans="1:40">
      <c r="B2" s="79"/>
      <c r="C2" s="79"/>
      <c r="D2" s="79"/>
      <c r="E2" s="79"/>
      <c r="F2" s="79"/>
      <c r="G2" s="79">
        <v>123</v>
      </c>
      <c r="H2" s="79"/>
      <c r="I2" s="79"/>
      <c r="J2" s="79"/>
    </row>
    <row r="3" spans="1:40">
      <c r="B3" s="79"/>
      <c r="C3" s="79"/>
      <c r="D3" s="79"/>
      <c r="E3" s="79"/>
      <c r="F3" s="79"/>
      <c r="G3">
        <v>456</v>
      </c>
    </row>
    <row r="4" spans="1:40">
      <c r="B4" s="79"/>
      <c r="C4" s="79"/>
      <c r="D4" s="79"/>
      <c r="E4" s="79"/>
      <c r="F4" s="79"/>
      <c r="G4">
        <v>789</v>
      </c>
    </row>
    <row r="5" spans="1:40">
      <c r="B5" s="79"/>
      <c r="C5" s="79"/>
      <c r="D5" s="79"/>
      <c r="E5" s="79"/>
      <c r="F5" s="79"/>
      <c r="G5">
        <v>101112</v>
      </c>
    </row>
    <row r="6" spans="1:40">
      <c r="B6" s="79"/>
      <c r="C6" s="79"/>
      <c r="D6" s="79"/>
      <c r="E6" s="79"/>
      <c r="F6" s="79"/>
      <c r="G6">
        <v>131415</v>
      </c>
    </row>
    <row r="7" spans="1:40">
      <c r="B7" s="79"/>
      <c r="C7" s="79"/>
      <c r="D7" s="87"/>
      <c r="E7" s="79"/>
      <c r="F7" s="79"/>
      <c r="G7">
        <v>161718</v>
      </c>
    </row>
    <row r="8" spans="1:40">
      <c r="B8" s="87"/>
      <c r="G8">
        <v>192021</v>
      </c>
    </row>
    <row r="9" spans="1:40">
      <c r="G9">
        <v>222324</v>
      </c>
    </row>
    <row r="10" spans="1:4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40">
      <c r="A11" s="166" t="s">
        <v>59</v>
      </c>
      <c r="B11" s="167"/>
      <c r="C11" s="167"/>
      <c r="D11" s="167"/>
      <c r="E11" s="167"/>
      <c r="F11" s="167"/>
      <c r="G11" s="167"/>
      <c r="H11" s="167"/>
      <c r="I11" s="167"/>
      <c r="J11" s="168"/>
      <c r="K11" s="166" t="s">
        <v>60</v>
      </c>
      <c r="L11" s="167"/>
      <c r="M11" s="167"/>
      <c r="N11" s="167"/>
      <c r="O11" s="167"/>
      <c r="P11" s="167"/>
      <c r="Q11" s="167"/>
      <c r="R11" s="167"/>
      <c r="S11" s="167"/>
      <c r="T11" s="168"/>
      <c r="U11" s="169" t="s">
        <v>61</v>
      </c>
      <c r="V11" s="170"/>
      <c r="W11" s="170"/>
      <c r="X11" s="170"/>
      <c r="Y11" s="170"/>
      <c r="Z11" s="170"/>
      <c r="AA11" s="170"/>
      <c r="AB11" s="170"/>
      <c r="AC11" s="170"/>
      <c r="AD11" s="171"/>
      <c r="AE11" s="169" t="s">
        <v>62</v>
      </c>
      <c r="AF11" s="170"/>
      <c r="AG11" s="170"/>
      <c r="AH11" s="170"/>
      <c r="AI11" s="170"/>
      <c r="AJ11" s="170"/>
      <c r="AK11" s="170"/>
      <c r="AL11" s="170"/>
      <c r="AM11" s="170"/>
      <c r="AN11" s="171"/>
    </row>
    <row r="12" spans="1:40">
      <c r="A12" s="80" t="s">
        <v>1</v>
      </c>
      <c r="B12" s="81" t="str">
        <f>A28</f>
        <v>England</v>
      </c>
      <c r="C12" s="81" t="s">
        <v>63</v>
      </c>
      <c r="D12" s="82" t="str">
        <f>A27</f>
        <v>Poland Black Brigade</v>
      </c>
      <c r="E12" s="82" t="s">
        <v>63</v>
      </c>
      <c r="F12" s="82" t="s">
        <v>64</v>
      </c>
      <c r="G12" s="83" t="s">
        <v>65</v>
      </c>
      <c r="H12" s="83" t="s">
        <v>65</v>
      </c>
      <c r="I12" s="83" t="s">
        <v>66</v>
      </c>
      <c r="J12" s="84" t="s">
        <v>66</v>
      </c>
      <c r="K12" s="80" t="s">
        <v>1</v>
      </c>
      <c r="L12" s="81" t="str">
        <f>A33</f>
        <v>Denmark</v>
      </c>
      <c r="M12" s="81" t="s">
        <v>63</v>
      </c>
      <c r="N12" s="82" t="str">
        <f>A34</f>
        <v>Scotland</v>
      </c>
      <c r="O12" s="82" t="s">
        <v>63</v>
      </c>
      <c r="P12" s="82" t="s">
        <v>64</v>
      </c>
      <c r="Q12" s="83" t="s">
        <v>65</v>
      </c>
      <c r="R12" s="83" t="s">
        <v>65</v>
      </c>
      <c r="S12" s="83" t="s">
        <v>66</v>
      </c>
      <c r="T12" s="84" t="s">
        <v>66</v>
      </c>
      <c r="U12" s="85" t="s">
        <v>1</v>
      </c>
      <c r="V12" s="86" t="str">
        <f>A39</f>
        <v>Germany</v>
      </c>
      <c r="W12" s="86" t="s">
        <v>63</v>
      </c>
      <c r="X12" s="87" t="str">
        <f>A40</f>
        <v>British Lions</v>
      </c>
      <c r="Y12" s="87" t="s">
        <v>63</v>
      </c>
      <c r="Z12" s="82" t="s">
        <v>64</v>
      </c>
      <c r="AA12" s="88" t="s">
        <v>65</v>
      </c>
      <c r="AB12" s="88" t="s">
        <v>65</v>
      </c>
      <c r="AC12" s="88" t="s">
        <v>66</v>
      </c>
      <c r="AD12" s="89" t="s">
        <v>66</v>
      </c>
      <c r="AE12" s="85" t="s">
        <v>1</v>
      </c>
      <c r="AF12" s="86" t="str">
        <f>A45</f>
        <v>Spain</v>
      </c>
      <c r="AG12" s="86" t="s">
        <v>63</v>
      </c>
      <c r="AH12" s="87" t="str">
        <f>A46</f>
        <v>Wales</v>
      </c>
      <c r="AI12" s="87" t="s">
        <v>63</v>
      </c>
      <c r="AJ12" s="82" t="s">
        <v>64</v>
      </c>
      <c r="AK12" s="88" t="s">
        <v>65</v>
      </c>
      <c r="AL12" s="88" t="s">
        <v>65</v>
      </c>
      <c r="AM12" s="88" t="s">
        <v>66</v>
      </c>
      <c r="AN12" s="90" t="s">
        <v>66</v>
      </c>
    </row>
    <row r="13" spans="1:40">
      <c r="A13" s="91">
        <v>7</v>
      </c>
      <c r="B13" s="92" t="s">
        <v>180</v>
      </c>
      <c r="C13" s="93" t="s">
        <v>73</v>
      </c>
      <c r="D13" s="94" t="s">
        <v>92</v>
      </c>
      <c r="E13" s="94" t="s">
        <v>73</v>
      </c>
      <c r="F13" s="94"/>
      <c r="G13" s="94">
        <v>3</v>
      </c>
      <c r="H13" s="94">
        <v>0</v>
      </c>
      <c r="I13" s="94">
        <v>0</v>
      </c>
      <c r="J13" s="95">
        <v>0</v>
      </c>
      <c r="K13" s="91">
        <v>13</v>
      </c>
      <c r="L13" s="93" t="s">
        <v>94</v>
      </c>
      <c r="M13" s="93" t="s">
        <v>95</v>
      </c>
      <c r="N13" s="94" t="s">
        <v>127</v>
      </c>
      <c r="O13" s="94" t="s">
        <v>79</v>
      </c>
      <c r="P13" s="94"/>
      <c r="Q13" s="94">
        <v>0</v>
      </c>
      <c r="R13" s="94">
        <v>3</v>
      </c>
      <c r="S13" s="94">
        <v>1</v>
      </c>
      <c r="T13" s="95">
        <v>0</v>
      </c>
      <c r="U13" s="91">
        <v>19</v>
      </c>
      <c r="V13" s="93" t="s">
        <v>77</v>
      </c>
      <c r="W13" s="93" t="s">
        <v>16</v>
      </c>
      <c r="X13" s="94" t="s">
        <v>176</v>
      </c>
      <c r="Y13" s="94" t="s">
        <v>16</v>
      </c>
      <c r="Z13" s="94"/>
      <c r="AA13" s="94">
        <v>3</v>
      </c>
      <c r="AB13" s="94">
        <v>0</v>
      </c>
      <c r="AC13" s="94">
        <v>0</v>
      </c>
      <c r="AD13" s="95">
        <v>1</v>
      </c>
      <c r="AE13" s="91">
        <v>1</v>
      </c>
      <c r="AF13" s="93" t="s">
        <v>99</v>
      </c>
      <c r="AG13" s="93" t="s">
        <v>73</v>
      </c>
      <c r="AH13" s="94" t="s">
        <v>174</v>
      </c>
      <c r="AI13" s="94" t="s">
        <v>16</v>
      </c>
      <c r="AJ13" s="94"/>
      <c r="AK13" s="94">
        <v>3</v>
      </c>
      <c r="AL13" s="94">
        <v>0</v>
      </c>
      <c r="AM13" s="94">
        <v>1</v>
      </c>
      <c r="AN13" s="96">
        <v>0</v>
      </c>
    </row>
    <row r="14" spans="1:40">
      <c r="A14" s="97">
        <v>8</v>
      </c>
      <c r="B14" s="98" t="s">
        <v>116</v>
      </c>
      <c r="C14" s="98" t="s">
        <v>16</v>
      </c>
      <c r="D14" s="99" t="s">
        <v>181</v>
      </c>
      <c r="E14" s="99" t="s">
        <v>83</v>
      </c>
      <c r="F14" s="99"/>
      <c r="G14" s="99">
        <v>3</v>
      </c>
      <c r="H14" s="99">
        <v>0</v>
      </c>
      <c r="I14" s="99">
        <v>0</v>
      </c>
      <c r="J14" s="100">
        <v>0</v>
      </c>
      <c r="K14" s="97">
        <v>14</v>
      </c>
      <c r="L14" s="98" t="s">
        <v>85</v>
      </c>
      <c r="M14" s="98" t="s">
        <v>79</v>
      </c>
      <c r="N14" s="99" t="s">
        <v>118</v>
      </c>
      <c r="O14" s="99" t="s">
        <v>16</v>
      </c>
      <c r="P14" s="99"/>
      <c r="Q14" s="99">
        <v>0</v>
      </c>
      <c r="R14" s="99">
        <v>3</v>
      </c>
      <c r="S14" s="99">
        <v>0</v>
      </c>
      <c r="T14" s="100">
        <v>1</v>
      </c>
      <c r="U14" s="97">
        <v>20</v>
      </c>
      <c r="V14" s="98" t="s">
        <v>182</v>
      </c>
      <c r="W14" s="98" t="s">
        <v>83</v>
      </c>
      <c r="X14" s="99" t="s">
        <v>121</v>
      </c>
      <c r="Y14" s="99" t="s">
        <v>73</v>
      </c>
      <c r="Z14" s="99"/>
      <c r="AA14" s="99">
        <v>3</v>
      </c>
      <c r="AB14" s="99">
        <v>0</v>
      </c>
      <c r="AC14" s="99">
        <v>1</v>
      </c>
      <c r="AD14" s="100">
        <v>0</v>
      </c>
      <c r="AE14" s="97">
        <v>2</v>
      </c>
      <c r="AF14" s="98" t="s">
        <v>80</v>
      </c>
      <c r="AG14" s="98" t="s">
        <v>95</v>
      </c>
      <c r="AH14" s="99" t="s">
        <v>178</v>
      </c>
      <c r="AI14" s="99" t="s">
        <v>73</v>
      </c>
      <c r="AJ14" s="99"/>
      <c r="AK14" s="99">
        <v>3</v>
      </c>
      <c r="AL14" s="99">
        <v>0</v>
      </c>
      <c r="AM14" s="99">
        <v>1</v>
      </c>
      <c r="AN14" s="101">
        <v>0</v>
      </c>
    </row>
    <row r="15" spans="1:40">
      <c r="A15" s="102">
        <v>9</v>
      </c>
      <c r="B15" s="98" t="s">
        <v>126</v>
      </c>
      <c r="C15" s="98" t="s">
        <v>95</v>
      </c>
      <c r="D15" s="99" t="s">
        <v>70</v>
      </c>
      <c r="E15" s="99" t="s">
        <v>71</v>
      </c>
      <c r="F15" s="99"/>
      <c r="G15" s="99">
        <v>0</v>
      </c>
      <c r="H15" s="99">
        <v>3</v>
      </c>
      <c r="I15" s="99">
        <v>1</v>
      </c>
      <c r="J15" s="100">
        <v>0</v>
      </c>
      <c r="K15" s="102">
        <v>15</v>
      </c>
      <c r="L15" s="98" t="s">
        <v>74</v>
      </c>
      <c r="M15" s="98" t="s">
        <v>87</v>
      </c>
      <c r="N15" s="99" t="s">
        <v>183</v>
      </c>
      <c r="O15" s="99" t="s">
        <v>83</v>
      </c>
      <c r="P15" s="99"/>
      <c r="Q15" s="99">
        <v>3</v>
      </c>
      <c r="R15" s="99">
        <v>0</v>
      </c>
      <c r="S15" s="99">
        <v>1</v>
      </c>
      <c r="T15" s="100">
        <v>0</v>
      </c>
      <c r="U15" s="102">
        <v>21</v>
      </c>
      <c r="V15" s="98" t="s">
        <v>184</v>
      </c>
      <c r="W15" s="98" t="s">
        <v>73</v>
      </c>
      <c r="X15" s="99" t="s">
        <v>129</v>
      </c>
      <c r="Y15" s="99" t="s">
        <v>71</v>
      </c>
      <c r="Z15" s="99"/>
      <c r="AA15" s="99">
        <v>0</v>
      </c>
      <c r="AB15" s="99">
        <v>3</v>
      </c>
      <c r="AC15" s="99">
        <v>0</v>
      </c>
      <c r="AD15" s="100">
        <v>1</v>
      </c>
      <c r="AE15" s="103">
        <v>3</v>
      </c>
      <c r="AF15" s="104" t="s">
        <v>90</v>
      </c>
      <c r="AG15" s="104" t="s">
        <v>16</v>
      </c>
      <c r="AH15" s="99" t="s">
        <v>171</v>
      </c>
      <c r="AI15" s="99" t="s">
        <v>71</v>
      </c>
      <c r="AJ15" s="99"/>
      <c r="AK15" s="99">
        <v>1</v>
      </c>
      <c r="AL15" s="99">
        <v>1</v>
      </c>
      <c r="AM15" s="99">
        <v>0</v>
      </c>
      <c r="AN15" s="101">
        <v>1</v>
      </c>
    </row>
    <row r="16" spans="1:40">
      <c r="A16" s="172" t="s">
        <v>101</v>
      </c>
      <c r="B16" s="173"/>
      <c r="C16" s="105"/>
      <c r="D16" s="99"/>
      <c r="E16" s="99"/>
      <c r="F16" s="99"/>
      <c r="G16" s="99">
        <v>1</v>
      </c>
      <c r="H16" s="99"/>
      <c r="I16" s="174"/>
      <c r="J16" s="175"/>
      <c r="K16" s="172" t="s">
        <v>101</v>
      </c>
      <c r="L16" s="176"/>
      <c r="M16" s="106"/>
      <c r="N16" s="99"/>
      <c r="O16" s="99"/>
      <c r="P16" s="99"/>
      <c r="Q16" s="99"/>
      <c r="R16" s="99">
        <v>1</v>
      </c>
      <c r="S16" s="174"/>
      <c r="T16" s="175"/>
      <c r="U16" s="172"/>
      <c r="V16" s="176"/>
      <c r="W16" s="106"/>
      <c r="X16" s="99"/>
      <c r="Y16" s="99"/>
      <c r="Z16" s="99"/>
      <c r="AA16" s="99">
        <v>1</v>
      </c>
      <c r="AB16" s="99"/>
      <c r="AC16" s="174"/>
      <c r="AD16" s="177"/>
      <c r="AE16" s="178" t="s">
        <v>101</v>
      </c>
      <c r="AF16" s="179"/>
      <c r="AG16" s="108"/>
      <c r="AH16" s="98"/>
      <c r="AI16" s="98"/>
      <c r="AJ16" s="98"/>
      <c r="AK16" s="99">
        <v>1</v>
      </c>
      <c r="AL16" s="99"/>
      <c r="AM16" s="174"/>
      <c r="AN16" s="175"/>
    </row>
    <row r="17" spans="1:40">
      <c r="A17" s="180"/>
      <c r="B17" s="181"/>
      <c r="C17" s="181"/>
      <c r="D17" s="181"/>
      <c r="E17" s="109"/>
      <c r="F17" s="109"/>
      <c r="G17" s="110">
        <f>SUM(G13:G16)</f>
        <v>7</v>
      </c>
      <c r="H17" s="110">
        <f t="shared" ref="H17:I17" si="0">SUM(H13:H16)</f>
        <v>3</v>
      </c>
      <c r="I17" s="110">
        <f t="shared" si="0"/>
        <v>1</v>
      </c>
      <c r="J17" s="111">
        <f>SUM(J13:J16)</f>
        <v>0</v>
      </c>
      <c r="K17" s="182"/>
      <c r="L17" s="183"/>
      <c r="M17" s="183"/>
      <c r="N17" s="183"/>
      <c r="O17" s="110"/>
      <c r="P17" s="110"/>
      <c r="Q17" s="110">
        <f>SUM(Q13:Q16)</f>
        <v>3</v>
      </c>
      <c r="R17" s="110">
        <f t="shared" ref="R17:T17" si="1">SUM(R13:R16)</f>
        <v>7</v>
      </c>
      <c r="S17" s="110">
        <f t="shared" si="1"/>
        <v>2</v>
      </c>
      <c r="T17" s="112">
        <f t="shared" si="1"/>
        <v>1</v>
      </c>
      <c r="U17" s="184"/>
      <c r="V17" s="183"/>
      <c r="W17" s="183"/>
      <c r="X17" s="183"/>
      <c r="Y17" s="110"/>
      <c r="Z17" s="110"/>
      <c r="AA17" s="110">
        <f>SUM(AA13:AA16)</f>
        <v>7</v>
      </c>
      <c r="AB17" s="110">
        <f t="shared" ref="AB17:AD17" si="2">SUM(AB13:AB16)</f>
        <v>3</v>
      </c>
      <c r="AC17" s="110">
        <f t="shared" si="2"/>
        <v>1</v>
      </c>
      <c r="AD17" s="112">
        <f t="shared" si="2"/>
        <v>2</v>
      </c>
      <c r="AE17" s="185"/>
      <c r="AF17" s="186"/>
      <c r="AG17" s="186"/>
      <c r="AH17" s="183"/>
      <c r="AI17" s="110"/>
      <c r="AJ17" s="110"/>
      <c r="AK17" s="114">
        <f>SUM(AK13:AK16)</f>
        <v>8</v>
      </c>
      <c r="AL17" s="114">
        <f t="shared" ref="AL17:AN17" si="3">SUM(AL13:AL16)</f>
        <v>1</v>
      </c>
      <c r="AM17" s="114">
        <f t="shared" si="3"/>
        <v>2</v>
      </c>
      <c r="AN17" s="116">
        <f t="shared" si="3"/>
        <v>1</v>
      </c>
    </row>
    <row r="18" spans="1:40">
      <c r="A18" s="113" t="s">
        <v>1</v>
      </c>
      <c r="B18" s="87" t="str">
        <f>A29</f>
        <v>Mixed Nuts</v>
      </c>
      <c r="C18" s="87" t="s">
        <v>63</v>
      </c>
      <c r="D18" s="87" t="str">
        <f>A30</f>
        <v>Netherlands</v>
      </c>
      <c r="E18" s="87" t="s">
        <v>63</v>
      </c>
      <c r="F18" s="82" t="s">
        <v>64</v>
      </c>
      <c r="G18" s="88" t="s">
        <v>65</v>
      </c>
      <c r="H18" s="88" t="s">
        <v>65</v>
      </c>
      <c r="I18" s="88" t="s">
        <v>66</v>
      </c>
      <c r="J18" s="89" t="s">
        <v>66</v>
      </c>
      <c r="K18" s="85" t="s">
        <v>1</v>
      </c>
      <c r="L18" s="86" t="str">
        <f>A36</f>
        <v>N Ireland</v>
      </c>
      <c r="M18" s="86" t="s">
        <v>63</v>
      </c>
      <c r="N18" s="87" t="str">
        <f>A35</f>
        <v>Spain 2</v>
      </c>
      <c r="O18" s="87" t="s">
        <v>63</v>
      </c>
      <c r="P18" s="82" t="s">
        <v>64</v>
      </c>
      <c r="Q18" s="88" t="s">
        <v>65</v>
      </c>
      <c r="R18" s="88" t="s">
        <v>65</v>
      </c>
      <c r="S18" s="88" t="s">
        <v>66</v>
      </c>
      <c r="T18" s="89" t="s">
        <v>66</v>
      </c>
      <c r="U18" s="85" t="s">
        <v>1</v>
      </c>
      <c r="V18" s="86" t="str">
        <f>A42</f>
        <v>Barbarians</v>
      </c>
      <c r="W18" s="86" t="s">
        <v>63</v>
      </c>
      <c r="X18" s="87" t="str">
        <f>A41</f>
        <v>South coast pirates (Eng 2)</v>
      </c>
      <c r="Y18" s="87" t="s">
        <v>63</v>
      </c>
      <c r="Z18" s="82" t="s">
        <v>64</v>
      </c>
      <c r="AA18" s="88" t="s">
        <v>65</v>
      </c>
      <c r="AB18" s="88" t="s">
        <v>65</v>
      </c>
      <c r="AC18" s="88" t="s">
        <v>66</v>
      </c>
      <c r="AD18" s="90" t="s">
        <v>66</v>
      </c>
      <c r="AE18" s="107" t="s">
        <v>1</v>
      </c>
      <c r="AF18" s="86" t="str">
        <f>A47</f>
        <v>Germany 2</v>
      </c>
      <c r="AG18" s="86" t="s">
        <v>63</v>
      </c>
      <c r="AH18" s="87" t="str">
        <f>A48</f>
        <v>Australia</v>
      </c>
      <c r="AI18" s="87" t="s">
        <v>63</v>
      </c>
      <c r="AJ18" s="82" t="s">
        <v>64</v>
      </c>
      <c r="AK18" s="88" t="s">
        <v>65</v>
      </c>
      <c r="AL18" s="88" t="s">
        <v>65</v>
      </c>
      <c r="AM18" s="88" t="s">
        <v>66</v>
      </c>
      <c r="AN18" s="90" t="s">
        <v>66</v>
      </c>
    </row>
    <row r="19" spans="1:40">
      <c r="A19" s="91">
        <v>10</v>
      </c>
      <c r="B19" s="93" t="s">
        <v>126</v>
      </c>
      <c r="C19" s="93" t="s">
        <v>73</v>
      </c>
      <c r="D19" s="94" t="s">
        <v>72</v>
      </c>
      <c r="E19" s="94" t="s">
        <v>71</v>
      </c>
      <c r="F19" s="94"/>
      <c r="G19" s="94">
        <v>3</v>
      </c>
      <c r="H19" s="94">
        <v>0</v>
      </c>
      <c r="I19" s="94">
        <v>1</v>
      </c>
      <c r="J19" s="95">
        <v>0</v>
      </c>
      <c r="K19" s="91">
        <v>16</v>
      </c>
      <c r="L19" s="93" t="s">
        <v>96</v>
      </c>
      <c r="M19" s="93" t="s">
        <v>124</v>
      </c>
      <c r="N19" s="94" t="s">
        <v>119</v>
      </c>
      <c r="O19" s="94" t="s">
        <v>120</v>
      </c>
      <c r="P19" s="94"/>
      <c r="Q19" s="94">
        <v>0</v>
      </c>
      <c r="R19" s="94">
        <v>3</v>
      </c>
      <c r="S19" s="94">
        <v>0</v>
      </c>
      <c r="T19" s="95">
        <v>1</v>
      </c>
      <c r="U19" s="91">
        <v>22</v>
      </c>
      <c r="V19" s="93" t="s">
        <v>170</v>
      </c>
      <c r="W19" s="93" t="s">
        <v>79</v>
      </c>
      <c r="X19" s="94" t="s">
        <v>185</v>
      </c>
      <c r="Y19" s="94" t="s">
        <v>186</v>
      </c>
      <c r="Z19" s="94"/>
      <c r="AA19" s="94">
        <v>1</v>
      </c>
      <c r="AB19" s="94">
        <v>1</v>
      </c>
      <c r="AC19" s="94">
        <v>1</v>
      </c>
      <c r="AD19" s="95">
        <v>0</v>
      </c>
      <c r="AE19" s="91">
        <v>4</v>
      </c>
      <c r="AF19" s="93" t="s">
        <v>114</v>
      </c>
      <c r="AG19" s="93" t="s">
        <v>153</v>
      </c>
      <c r="AH19" s="94" t="s">
        <v>91</v>
      </c>
      <c r="AI19" s="94" t="s">
        <v>16</v>
      </c>
      <c r="AJ19" s="94"/>
      <c r="AK19" s="94">
        <v>3</v>
      </c>
      <c r="AL19" s="94">
        <v>0</v>
      </c>
      <c r="AM19" s="94">
        <v>0</v>
      </c>
      <c r="AN19" s="96">
        <v>1</v>
      </c>
    </row>
    <row r="20" spans="1:40">
      <c r="A20" s="97">
        <v>11</v>
      </c>
      <c r="B20" s="98" t="s">
        <v>172</v>
      </c>
      <c r="C20" s="98" t="s">
        <v>16</v>
      </c>
      <c r="D20" s="99" t="s">
        <v>93</v>
      </c>
      <c r="E20" s="99" t="s">
        <v>16</v>
      </c>
      <c r="F20" s="99"/>
      <c r="G20" s="99">
        <v>0</v>
      </c>
      <c r="H20" s="99">
        <v>3</v>
      </c>
      <c r="I20" s="99">
        <v>1</v>
      </c>
      <c r="J20" s="100">
        <v>0</v>
      </c>
      <c r="K20" s="97">
        <v>17</v>
      </c>
      <c r="L20" s="98" t="s">
        <v>88</v>
      </c>
      <c r="M20" s="98" t="s">
        <v>87</v>
      </c>
      <c r="N20" s="99" t="s">
        <v>128</v>
      </c>
      <c r="O20" s="99" t="s">
        <v>83</v>
      </c>
      <c r="P20" s="99"/>
      <c r="Q20" s="99">
        <v>0</v>
      </c>
      <c r="R20" s="99">
        <v>3</v>
      </c>
      <c r="S20" s="99">
        <v>0</v>
      </c>
      <c r="T20" s="100">
        <v>1</v>
      </c>
      <c r="U20" s="97">
        <v>23</v>
      </c>
      <c r="V20" s="98" t="s">
        <v>23</v>
      </c>
      <c r="W20" s="98" t="s">
        <v>71</v>
      </c>
      <c r="X20" s="99" t="s">
        <v>75</v>
      </c>
      <c r="Y20" s="99" t="s">
        <v>87</v>
      </c>
      <c r="Z20" s="99"/>
      <c r="AA20" s="99">
        <v>1</v>
      </c>
      <c r="AB20" s="99">
        <v>1</v>
      </c>
      <c r="AC20" s="99">
        <v>0</v>
      </c>
      <c r="AD20" s="100">
        <v>1</v>
      </c>
      <c r="AE20" s="97">
        <v>5</v>
      </c>
      <c r="AF20" s="98" t="s">
        <v>123</v>
      </c>
      <c r="AG20" s="98" t="s">
        <v>124</v>
      </c>
      <c r="AH20" s="99" t="s">
        <v>100</v>
      </c>
      <c r="AI20" s="99" t="s">
        <v>83</v>
      </c>
      <c r="AJ20" s="99"/>
      <c r="AK20" s="99">
        <v>1</v>
      </c>
      <c r="AL20" s="99">
        <v>1</v>
      </c>
      <c r="AM20" s="99">
        <v>1</v>
      </c>
      <c r="AN20" s="101">
        <v>0</v>
      </c>
    </row>
    <row r="21" spans="1:40">
      <c r="A21" s="102">
        <v>12</v>
      </c>
      <c r="B21" s="98" t="s">
        <v>117</v>
      </c>
      <c r="C21" s="98" t="s">
        <v>83</v>
      </c>
      <c r="D21" s="99" t="s">
        <v>84</v>
      </c>
      <c r="E21" s="99" t="s">
        <v>83</v>
      </c>
      <c r="F21" s="99"/>
      <c r="G21" s="99">
        <v>0</v>
      </c>
      <c r="H21" s="99">
        <v>3</v>
      </c>
      <c r="I21" s="99">
        <v>1</v>
      </c>
      <c r="J21" s="100">
        <v>0</v>
      </c>
      <c r="K21" s="102">
        <v>18</v>
      </c>
      <c r="L21" s="98" t="s">
        <v>75</v>
      </c>
      <c r="M21" s="98" t="s">
        <v>71</v>
      </c>
      <c r="N21" s="99" t="s">
        <v>110</v>
      </c>
      <c r="O21" s="99" t="s">
        <v>124</v>
      </c>
      <c r="P21" s="99"/>
      <c r="Q21" s="99">
        <v>0</v>
      </c>
      <c r="R21" s="99">
        <v>3</v>
      </c>
      <c r="S21" s="99">
        <v>0</v>
      </c>
      <c r="T21" s="100">
        <v>0</v>
      </c>
      <c r="U21" s="102">
        <v>24</v>
      </c>
      <c r="V21" s="98" t="s">
        <v>98</v>
      </c>
      <c r="W21" s="98" t="s">
        <v>16</v>
      </c>
      <c r="X21" s="99" t="s">
        <v>187</v>
      </c>
      <c r="Y21" s="99" t="s">
        <v>71</v>
      </c>
      <c r="Z21" s="99"/>
      <c r="AA21" s="99">
        <v>3</v>
      </c>
      <c r="AB21" s="99">
        <v>0</v>
      </c>
      <c r="AC21" s="99">
        <v>0</v>
      </c>
      <c r="AD21" s="100">
        <v>0</v>
      </c>
      <c r="AE21" s="103">
        <v>6</v>
      </c>
      <c r="AF21" s="104" t="s">
        <v>132</v>
      </c>
      <c r="AG21" s="104" t="s">
        <v>76</v>
      </c>
      <c r="AH21" s="99" t="s">
        <v>81</v>
      </c>
      <c r="AI21" s="99" t="s">
        <v>73</v>
      </c>
      <c r="AJ21" s="99"/>
      <c r="AK21" s="99">
        <v>0</v>
      </c>
      <c r="AL21" s="99">
        <v>3</v>
      </c>
      <c r="AM21" s="99">
        <v>0</v>
      </c>
      <c r="AN21" s="101">
        <v>1</v>
      </c>
    </row>
    <row r="22" spans="1:40">
      <c r="A22" s="172" t="s">
        <v>101</v>
      </c>
      <c r="B22" s="176"/>
      <c r="C22" s="106"/>
      <c r="D22" s="99"/>
      <c r="E22" s="99"/>
      <c r="F22" s="99"/>
      <c r="G22" s="99"/>
      <c r="H22" s="99">
        <v>1</v>
      </c>
      <c r="I22" s="174"/>
      <c r="J22" s="175"/>
      <c r="K22" s="172" t="s">
        <v>101</v>
      </c>
      <c r="L22" s="176"/>
      <c r="M22" s="106"/>
      <c r="N22" s="99"/>
      <c r="O22" s="99"/>
      <c r="P22" s="99"/>
      <c r="Q22" s="99"/>
      <c r="R22" s="99">
        <v>1</v>
      </c>
      <c r="S22" s="174"/>
      <c r="T22" s="175"/>
      <c r="U22" s="172" t="s">
        <v>101</v>
      </c>
      <c r="V22" s="176"/>
      <c r="W22" s="106"/>
      <c r="X22" s="99"/>
      <c r="Y22" s="99"/>
      <c r="Z22" s="99"/>
      <c r="AA22" s="99">
        <v>1</v>
      </c>
      <c r="AB22" s="99"/>
      <c r="AC22" s="174"/>
      <c r="AD22" s="177"/>
      <c r="AE22" s="178" t="s">
        <v>101</v>
      </c>
      <c r="AF22" s="179"/>
      <c r="AG22" s="108"/>
      <c r="AH22" s="98"/>
      <c r="AI22" s="98"/>
      <c r="AJ22" s="98"/>
      <c r="AK22" s="99"/>
      <c r="AL22" s="99"/>
      <c r="AM22" s="174"/>
      <c r="AN22" s="175"/>
    </row>
    <row r="23" spans="1:40">
      <c r="A23" s="187"/>
      <c r="B23" s="188"/>
      <c r="C23" s="188"/>
      <c r="D23" s="188"/>
      <c r="E23" s="114"/>
      <c r="F23" s="114"/>
      <c r="G23" s="114">
        <f>SUM(G19:G22)</f>
        <v>3</v>
      </c>
      <c r="H23" s="114">
        <f t="shared" ref="H23:J23" si="4">SUM(H19:H22)</f>
        <v>7</v>
      </c>
      <c r="I23" s="114">
        <f t="shared" si="4"/>
        <v>3</v>
      </c>
      <c r="J23" s="115">
        <f t="shared" si="4"/>
        <v>0</v>
      </c>
      <c r="K23" s="187"/>
      <c r="L23" s="188"/>
      <c r="M23" s="188"/>
      <c r="N23" s="188"/>
      <c r="O23" s="114"/>
      <c r="P23" s="114"/>
      <c r="Q23" s="114">
        <f>SUM(Q19:Q22)</f>
        <v>0</v>
      </c>
      <c r="R23" s="114">
        <f>SUM(R19:R22)</f>
        <v>10</v>
      </c>
      <c r="S23" s="114">
        <f>SUM(S19:S22)</f>
        <v>0</v>
      </c>
      <c r="T23" s="116">
        <f>SUM(T19:T22)</f>
        <v>2</v>
      </c>
      <c r="U23" s="189"/>
      <c r="V23" s="188"/>
      <c r="W23" s="188"/>
      <c r="X23" s="188"/>
      <c r="Y23" s="114"/>
      <c r="Z23" s="114"/>
      <c r="AA23" s="114">
        <f>SUM(AA19:AA22)</f>
        <v>6</v>
      </c>
      <c r="AB23" s="114">
        <f t="shared" ref="AB23:AD23" si="5">SUM(AB19:AB22)</f>
        <v>2</v>
      </c>
      <c r="AC23" s="114">
        <f t="shared" si="5"/>
        <v>1</v>
      </c>
      <c r="AD23" s="116">
        <f t="shared" si="5"/>
        <v>1</v>
      </c>
      <c r="AE23" s="190"/>
      <c r="AF23" s="191"/>
      <c r="AG23" s="191"/>
      <c r="AH23" s="188"/>
      <c r="AI23" s="114"/>
      <c r="AJ23" s="114"/>
      <c r="AK23" s="114">
        <f>SUM(AK19:AK22)</f>
        <v>4</v>
      </c>
      <c r="AL23" s="114">
        <f t="shared" ref="AL23:AN23" si="6">SUM(AL19:AL22)</f>
        <v>4</v>
      </c>
      <c r="AM23" s="114">
        <f t="shared" si="6"/>
        <v>1</v>
      </c>
      <c r="AN23" s="116">
        <f t="shared" si="6"/>
        <v>2</v>
      </c>
    </row>
    <row r="25" spans="1:40">
      <c r="A25" t="s">
        <v>133</v>
      </c>
      <c r="I25" t="s">
        <v>134</v>
      </c>
    </row>
    <row r="26" spans="1:40">
      <c r="A26" t="s">
        <v>59</v>
      </c>
    </row>
    <row r="27" spans="1:40">
      <c r="A27" s="12" t="s">
        <v>135</v>
      </c>
    </row>
    <row r="28" spans="1:40">
      <c r="A28" s="12" t="s">
        <v>136</v>
      </c>
    </row>
    <row r="29" spans="1:40">
      <c r="A29" s="12" t="s">
        <v>102</v>
      </c>
    </row>
    <row r="30" spans="1:40">
      <c r="A30" s="12" t="s">
        <v>52</v>
      </c>
    </row>
    <row r="32" spans="1:40">
      <c r="A32" t="s">
        <v>60</v>
      </c>
    </row>
    <row r="33" spans="1:1">
      <c r="A33" t="s">
        <v>56</v>
      </c>
    </row>
    <row r="34" spans="1:1">
      <c r="A34" t="s">
        <v>142</v>
      </c>
    </row>
    <row r="35" spans="1:1">
      <c r="A35" t="s">
        <v>146</v>
      </c>
    </row>
    <row r="36" spans="1:1">
      <c r="A36" t="s">
        <v>67</v>
      </c>
    </row>
    <row r="38" spans="1:1">
      <c r="A38" t="s">
        <v>61</v>
      </c>
    </row>
    <row r="39" spans="1:1">
      <c r="A39" t="s">
        <v>21</v>
      </c>
    </row>
    <row r="40" spans="1:1">
      <c r="A40" t="s">
        <v>143</v>
      </c>
    </row>
    <row r="41" spans="1:1">
      <c r="A41" t="s">
        <v>147</v>
      </c>
    </row>
    <row r="42" spans="1:1">
      <c r="A42" s="6" t="s">
        <v>68</v>
      </c>
    </row>
    <row r="44" spans="1:1">
      <c r="A44" t="s">
        <v>62</v>
      </c>
    </row>
    <row r="45" spans="1:1">
      <c r="A45" t="s">
        <v>141</v>
      </c>
    </row>
    <row r="46" spans="1:1">
      <c r="A46" t="s">
        <v>144</v>
      </c>
    </row>
    <row r="47" spans="1:1">
      <c r="A47" t="s">
        <v>105</v>
      </c>
    </row>
    <row r="48" spans="1:1">
      <c r="A48" s="12" t="s">
        <v>69</v>
      </c>
    </row>
  </sheetData>
  <mergeCells count="28">
    <mergeCell ref="AM22:AN22"/>
    <mergeCell ref="A23:D23"/>
    <mergeCell ref="K23:N23"/>
    <mergeCell ref="U23:X23"/>
    <mergeCell ref="AE23:AH23"/>
    <mergeCell ref="A22:B22"/>
    <mergeCell ref="I22:J22"/>
    <mergeCell ref="K22:L22"/>
    <mergeCell ref="S22:T22"/>
    <mergeCell ref="U22:V22"/>
    <mergeCell ref="AC22:AD22"/>
    <mergeCell ref="A17:D17"/>
    <mergeCell ref="K17:N17"/>
    <mergeCell ref="U17:X17"/>
    <mergeCell ref="AE17:AH17"/>
    <mergeCell ref="AE22:AF22"/>
    <mergeCell ref="A11:J11"/>
    <mergeCell ref="K11:T11"/>
    <mergeCell ref="U11:AD11"/>
    <mergeCell ref="AE11:AN11"/>
    <mergeCell ref="A16:B16"/>
    <mergeCell ref="I16:J16"/>
    <mergeCell ref="K16:L16"/>
    <mergeCell ref="S16:T16"/>
    <mergeCell ref="U16:V16"/>
    <mergeCell ref="AC16:AD16"/>
    <mergeCell ref="AE16:AF16"/>
    <mergeCell ref="AM16:AN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C3BC-83A7-46AE-84AD-E7F06A7EBD1E}">
  <dimension ref="A3:AN49"/>
  <sheetViews>
    <sheetView topLeftCell="A7" workbookViewId="0">
      <selection activeCell="A20" sqref="A20"/>
    </sheetView>
  </sheetViews>
  <sheetFormatPr defaultRowHeight="15"/>
  <cols>
    <col min="1" max="1" width="19.5703125" bestFit="1" customWidth="1"/>
    <col min="2" max="2" width="17.42578125" bestFit="1" customWidth="1"/>
    <col min="4" max="4" width="19.5703125" bestFit="1" customWidth="1"/>
    <col min="24" max="24" width="9.42578125" bestFit="1" customWidth="1"/>
    <col min="32" max="32" width="11.85546875" bestFit="1" customWidth="1"/>
    <col min="34" max="34" width="9.28515625" bestFit="1" customWidth="1"/>
  </cols>
  <sheetData>
    <row r="3" spans="1:40">
      <c r="B3" s="79"/>
      <c r="C3" s="79"/>
      <c r="D3" s="79"/>
      <c r="E3" s="79"/>
      <c r="F3" s="79"/>
      <c r="G3" s="79"/>
      <c r="H3" s="79"/>
      <c r="I3" s="79"/>
      <c r="J3" s="79"/>
    </row>
    <row r="4" spans="1:40">
      <c r="B4" s="79"/>
      <c r="C4" s="79"/>
      <c r="D4" s="79"/>
      <c r="E4" s="79"/>
      <c r="F4" s="79"/>
    </row>
    <row r="5" spans="1:40">
      <c r="B5" s="79"/>
      <c r="C5" s="79"/>
      <c r="D5" s="79"/>
      <c r="E5" s="79"/>
      <c r="F5" s="79"/>
    </row>
    <row r="6" spans="1:40">
      <c r="B6" s="79"/>
      <c r="C6" s="79"/>
      <c r="D6" s="79"/>
      <c r="E6" s="79"/>
      <c r="F6" s="79"/>
    </row>
    <row r="7" spans="1:40">
      <c r="B7" s="79"/>
      <c r="C7" s="79"/>
      <c r="D7" s="79"/>
      <c r="E7" s="79"/>
      <c r="F7" s="79"/>
    </row>
    <row r="8" spans="1:40">
      <c r="B8" s="79"/>
      <c r="C8" s="79"/>
      <c r="D8" s="79"/>
      <c r="E8" s="79"/>
      <c r="F8" s="79"/>
    </row>
    <row r="11" spans="1:4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40">
      <c r="A12" s="166" t="s">
        <v>59</v>
      </c>
      <c r="B12" s="167"/>
      <c r="C12" s="167"/>
      <c r="D12" s="167"/>
      <c r="E12" s="167"/>
      <c r="F12" s="167"/>
      <c r="G12" s="167"/>
      <c r="H12" s="167"/>
      <c r="I12" s="167"/>
      <c r="J12" s="168"/>
      <c r="K12" s="166" t="s">
        <v>60</v>
      </c>
      <c r="L12" s="167"/>
      <c r="M12" s="167"/>
      <c r="N12" s="167"/>
      <c r="O12" s="167"/>
      <c r="P12" s="167"/>
      <c r="Q12" s="167"/>
      <c r="R12" s="167"/>
      <c r="S12" s="167"/>
      <c r="T12" s="168"/>
      <c r="U12" s="169" t="s">
        <v>61</v>
      </c>
      <c r="V12" s="170"/>
      <c r="W12" s="170"/>
      <c r="X12" s="170"/>
      <c r="Y12" s="170"/>
      <c r="Z12" s="170"/>
      <c r="AA12" s="170"/>
      <c r="AB12" s="170"/>
      <c r="AC12" s="170"/>
      <c r="AD12" s="171"/>
      <c r="AE12" s="169" t="s">
        <v>62</v>
      </c>
      <c r="AF12" s="170"/>
      <c r="AG12" s="170"/>
      <c r="AH12" s="170"/>
      <c r="AI12" s="170"/>
      <c r="AJ12" s="170"/>
      <c r="AK12" s="170"/>
      <c r="AL12" s="170"/>
      <c r="AM12" s="170"/>
      <c r="AN12" s="171"/>
    </row>
    <row r="13" spans="1:40">
      <c r="A13" s="80" t="s">
        <v>1</v>
      </c>
      <c r="B13" s="81" t="str">
        <f>A28</f>
        <v>Germany</v>
      </c>
      <c r="C13" s="81" t="s">
        <v>63</v>
      </c>
      <c r="D13" s="82" t="str">
        <f>A30</f>
        <v>England</v>
      </c>
      <c r="E13" s="82" t="s">
        <v>63</v>
      </c>
      <c r="F13" s="82" t="s">
        <v>64</v>
      </c>
      <c r="G13" s="83" t="s">
        <v>65</v>
      </c>
      <c r="H13" s="83" t="s">
        <v>65</v>
      </c>
      <c r="I13" s="83" t="s">
        <v>66</v>
      </c>
      <c r="J13" s="84" t="s">
        <v>66</v>
      </c>
      <c r="K13" s="80" t="s">
        <v>1</v>
      </c>
      <c r="L13" s="81" t="str">
        <f>A34</f>
        <v>Mixed Nuts</v>
      </c>
      <c r="M13" s="81" t="s">
        <v>63</v>
      </c>
      <c r="N13" s="82" t="str">
        <f>A36</f>
        <v>Barbarians</v>
      </c>
      <c r="O13" s="82" t="s">
        <v>63</v>
      </c>
      <c r="P13" s="82" t="s">
        <v>64</v>
      </c>
      <c r="Q13" s="83" t="s">
        <v>65</v>
      </c>
      <c r="R13" s="83" t="s">
        <v>65</v>
      </c>
      <c r="S13" s="83" t="s">
        <v>66</v>
      </c>
      <c r="T13" s="84" t="s">
        <v>66</v>
      </c>
      <c r="U13" s="85" t="s">
        <v>1</v>
      </c>
      <c r="V13" s="86" t="str">
        <f>A40</f>
        <v>Poland</v>
      </c>
      <c r="W13" s="86" t="s">
        <v>63</v>
      </c>
      <c r="X13" s="87" t="str">
        <f>A42</f>
        <v>British Lions</v>
      </c>
      <c r="Y13" s="87" t="s">
        <v>63</v>
      </c>
      <c r="Z13" s="82" t="s">
        <v>64</v>
      </c>
      <c r="AA13" s="88" t="s">
        <v>65</v>
      </c>
      <c r="AB13" s="88" t="s">
        <v>65</v>
      </c>
      <c r="AC13" s="88" t="s">
        <v>66</v>
      </c>
      <c r="AD13" s="89" t="s">
        <v>66</v>
      </c>
      <c r="AE13" s="85" t="s">
        <v>1</v>
      </c>
      <c r="AF13" s="86" t="str">
        <f>A46</f>
        <v>Netherlands</v>
      </c>
      <c r="AG13" s="86" t="s">
        <v>63</v>
      </c>
      <c r="AH13" s="87" t="str">
        <f>A48</f>
        <v>Germany II</v>
      </c>
      <c r="AI13" s="87" t="s">
        <v>63</v>
      </c>
      <c r="AJ13" s="82" t="s">
        <v>64</v>
      </c>
      <c r="AK13" s="88" t="s">
        <v>65</v>
      </c>
      <c r="AL13" s="88" t="s">
        <v>65</v>
      </c>
      <c r="AM13" s="88" t="s">
        <v>66</v>
      </c>
      <c r="AN13" s="90" t="s">
        <v>66</v>
      </c>
    </row>
    <row r="14" spans="1:40">
      <c r="A14" s="91">
        <v>16</v>
      </c>
      <c r="B14" s="92" t="s">
        <v>97</v>
      </c>
      <c r="C14" s="93" t="s">
        <v>73</v>
      </c>
      <c r="D14" s="94" t="s">
        <v>116</v>
      </c>
      <c r="E14" s="94" t="s">
        <v>83</v>
      </c>
      <c r="F14" s="94"/>
      <c r="G14" s="94">
        <v>0</v>
      </c>
      <c r="H14" s="94">
        <v>3</v>
      </c>
      <c r="I14" s="94">
        <v>0</v>
      </c>
      <c r="J14" s="95">
        <v>1</v>
      </c>
      <c r="K14" s="91">
        <v>1</v>
      </c>
      <c r="L14" s="93" t="s">
        <v>172</v>
      </c>
      <c r="M14" s="93" t="s">
        <v>16</v>
      </c>
      <c r="N14" s="94" t="s">
        <v>170</v>
      </c>
      <c r="O14" s="94" t="s">
        <v>79</v>
      </c>
      <c r="P14" s="94"/>
      <c r="Q14" s="94">
        <v>0</v>
      </c>
      <c r="R14" s="94">
        <v>3</v>
      </c>
      <c r="S14" s="94">
        <v>0</v>
      </c>
      <c r="T14" s="95">
        <v>1</v>
      </c>
      <c r="U14" s="91">
        <v>13</v>
      </c>
      <c r="V14" s="93" t="s">
        <v>70</v>
      </c>
      <c r="W14" s="93" t="s">
        <v>71</v>
      </c>
      <c r="X14" s="94" t="s">
        <v>188</v>
      </c>
      <c r="Y14" s="94" t="s">
        <v>71</v>
      </c>
      <c r="Z14" s="94"/>
      <c r="AA14" s="94">
        <v>0</v>
      </c>
      <c r="AB14" s="94">
        <v>3</v>
      </c>
      <c r="AC14" s="94">
        <v>0</v>
      </c>
      <c r="AD14" s="95">
        <v>1</v>
      </c>
      <c r="AE14" s="91">
        <v>22</v>
      </c>
      <c r="AF14" s="93" t="s">
        <v>72</v>
      </c>
      <c r="AG14" s="93" t="s">
        <v>71</v>
      </c>
      <c r="AH14" s="94" t="s">
        <v>132</v>
      </c>
      <c r="AI14" s="94" t="s">
        <v>71</v>
      </c>
      <c r="AJ14" s="94"/>
      <c r="AK14" s="94">
        <v>1</v>
      </c>
      <c r="AL14" s="94">
        <v>1</v>
      </c>
      <c r="AM14" s="94">
        <v>1</v>
      </c>
      <c r="AN14" s="96">
        <v>0</v>
      </c>
    </row>
    <row r="15" spans="1:40">
      <c r="A15" s="97">
        <v>17</v>
      </c>
      <c r="B15" s="98" t="s">
        <v>89</v>
      </c>
      <c r="C15" s="98" t="s">
        <v>79</v>
      </c>
      <c r="D15" s="99" t="s">
        <v>189</v>
      </c>
      <c r="E15" s="99" t="s">
        <v>73</v>
      </c>
      <c r="F15" s="99"/>
      <c r="G15" s="99">
        <v>3</v>
      </c>
      <c r="H15" s="99">
        <v>0</v>
      </c>
      <c r="I15" s="99">
        <v>0</v>
      </c>
      <c r="J15" s="100">
        <v>0</v>
      </c>
      <c r="K15" s="97">
        <v>2</v>
      </c>
      <c r="L15" s="98" t="s">
        <v>162</v>
      </c>
      <c r="M15" s="98" t="s">
        <v>73</v>
      </c>
      <c r="N15" s="99" t="s">
        <v>173</v>
      </c>
      <c r="O15" s="99" t="s">
        <v>16</v>
      </c>
      <c r="P15" s="99"/>
      <c r="Q15" s="99">
        <v>3</v>
      </c>
      <c r="R15" s="99">
        <v>0</v>
      </c>
      <c r="S15" s="99">
        <v>1</v>
      </c>
      <c r="T15" s="100">
        <v>0</v>
      </c>
      <c r="U15" s="97">
        <v>14</v>
      </c>
      <c r="V15" s="98" t="s">
        <v>190</v>
      </c>
      <c r="W15" s="98" t="s">
        <v>83</v>
      </c>
      <c r="X15" s="99" t="s">
        <v>176</v>
      </c>
      <c r="Y15" s="99" t="s">
        <v>16</v>
      </c>
      <c r="Z15" s="99"/>
      <c r="AA15" s="99">
        <v>3</v>
      </c>
      <c r="AB15" s="99">
        <v>0</v>
      </c>
      <c r="AC15" s="99">
        <v>1</v>
      </c>
      <c r="AD15" s="100">
        <v>0</v>
      </c>
      <c r="AE15" s="97">
        <v>23</v>
      </c>
      <c r="AF15" s="98" t="s">
        <v>84</v>
      </c>
      <c r="AG15" s="98" t="s">
        <v>83</v>
      </c>
      <c r="AH15" s="99" t="s">
        <v>114</v>
      </c>
      <c r="AI15" s="99" t="s">
        <v>83</v>
      </c>
      <c r="AJ15" s="99"/>
      <c r="AK15" s="99">
        <v>3</v>
      </c>
      <c r="AL15" s="99">
        <v>0</v>
      </c>
      <c r="AM15" s="99">
        <v>0</v>
      </c>
      <c r="AN15" s="101">
        <v>1</v>
      </c>
    </row>
    <row r="16" spans="1:40">
      <c r="A16" s="102">
        <v>18</v>
      </c>
      <c r="B16" s="98" t="s">
        <v>77</v>
      </c>
      <c r="C16" s="98" t="s">
        <v>16</v>
      </c>
      <c r="D16" s="99" t="s">
        <v>162</v>
      </c>
      <c r="E16" s="99" t="s">
        <v>95</v>
      </c>
      <c r="F16" s="99"/>
      <c r="G16" s="99">
        <v>3</v>
      </c>
      <c r="H16" s="99">
        <v>0</v>
      </c>
      <c r="I16" s="99">
        <v>1</v>
      </c>
      <c r="J16" s="100">
        <v>0</v>
      </c>
      <c r="K16" s="102">
        <v>3</v>
      </c>
      <c r="L16" s="98" t="s">
        <v>117</v>
      </c>
      <c r="M16" s="98" t="s">
        <v>83</v>
      </c>
      <c r="N16" s="99" t="s">
        <v>23</v>
      </c>
      <c r="O16" s="99" t="s">
        <v>71</v>
      </c>
      <c r="P16" s="99"/>
      <c r="Q16" s="99">
        <v>3</v>
      </c>
      <c r="R16" s="99">
        <v>0</v>
      </c>
      <c r="S16" s="99">
        <v>1</v>
      </c>
      <c r="T16" s="100">
        <v>0</v>
      </c>
      <c r="U16" s="102">
        <v>15</v>
      </c>
      <c r="V16" s="98" t="s">
        <v>92</v>
      </c>
      <c r="W16" s="98" t="s">
        <v>73</v>
      </c>
      <c r="X16" s="99" t="s">
        <v>121</v>
      </c>
      <c r="Y16" s="99" t="s">
        <v>73</v>
      </c>
      <c r="Z16" s="99"/>
      <c r="AA16" s="99">
        <v>0</v>
      </c>
      <c r="AB16" s="99">
        <v>3</v>
      </c>
      <c r="AC16" s="99">
        <v>0</v>
      </c>
      <c r="AD16" s="100">
        <v>0</v>
      </c>
      <c r="AE16" s="103">
        <v>24</v>
      </c>
      <c r="AF16" s="104" t="s">
        <v>93</v>
      </c>
      <c r="AG16" s="104" t="s">
        <v>16</v>
      </c>
      <c r="AH16" s="99" t="s">
        <v>123</v>
      </c>
      <c r="AI16" s="99" t="s">
        <v>95</v>
      </c>
      <c r="AJ16" s="99"/>
      <c r="AK16" s="99">
        <v>3</v>
      </c>
      <c r="AL16" s="99">
        <v>0</v>
      </c>
      <c r="AM16" s="99">
        <v>1</v>
      </c>
      <c r="AN16" s="101">
        <v>0</v>
      </c>
    </row>
    <row r="17" spans="1:40">
      <c r="A17" s="172" t="s">
        <v>101</v>
      </c>
      <c r="B17" s="173"/>
      <c r="C17" s="105"/>
      <c r="D17" s="99"/>
      <c r="E17" s="99"/>
      <c r="F17" s="99"/>
      <c r="G17" s="99">
        <v>1</v>
      </c>
      <c r="H17" s="99"/>
      <c r="I17" s="174"/>
      <c r="J17" s="175"/>
      <c r="K17" s="172" t="s">
        <v>101</v>
      </c>
      <c r="L17" s="176"/>
      <c r="M17" s="106"/>
      <c r="N17" s="99"/>
      <c r="O17" s="99"/>
      <c r="P17" s="99"/>
      <c r="Q17" s="99">
        <v>1</v>
      </c>
      <c r="R17" s="99"/>
      <c r="S17" s="174"/>
      <c r="T17" s="175"/>
      <c r="U17" s="172"/>
      <c r="V17" s="176"/>
      <c r="W17" s="106"/>
      <c r="X17" s="99"/>
      <c r="Y17" s="99"/>
      <c r="Z17" s="99"/>
      <c r="AA17" s="99"/>
      <c r="AB17" s="99">
        <v>1</v>
      </c>
      <c r="AC17" s="174"/>
      <c r="AD17" s="177"/>
      <c r="AE17" s="178" t="s">
        <v>101</v>
      </c>
      <c r="AF17" s="179"/>
      <c r="AG17" s="108"/>
      <c r="AH17" s="98"/>
      <c r="AI17" s="98"/>
      <c r="AJ17" s="98"/>
      <c r="AK17" s="99">
        <v>1</v>
      </c>
      <c r="AL17" s="99"/>
      <c r="AM17" s="174"/>
      <c r="AN17" s="175"/>
    </row>
    <row r="18" spans="1:40">
      <c r="A18" s="180"/>
      <c r="B18" s="181"/>
      <c r="C18" s="181"/>
      <c r="D18" s="181"/>
      <c r="E18" s="109"/>
      <c r="F18" s="109"/>
      <c r="G18" s="110">
        <f>SUM(G14:G17)</f>
        <v>7</v>
      </c>
      <c r="H18" s="110">
        <f t="shared" ref="H18:I18" si="0">SUM(H14:H17)</f>
        <v>3</v>
      </c>
      <c r="I18" s="110">
        <f t="shared" si="0"/>
        <v>1</v>
      </c>
      <c r="J18" s="111">
        <f>SUM(J14:J17)</f>
        <v>1</v>
      </c>
      <c r="K18" s="182"/>
      <c r="L18" s="183"/>
      <c r="M18" s="183"/>
      <c r="N18" s="183"/>
      <c r="O18" s="110"/>
      <c r="P18" s="110"/>
      <c r="Q18" s="110">
        <f>SUM(Q14:Q17)</f>
        <v>7</v>
      </c>
      <c r="R18" s="110">
        <f t="shared" ref="R18:T18" si="1">SUM(R14:R17)</f>
        <v>3</v>
      </c>
      <c r="S18" s="110">
        <f t="shared" si="1"/>
        <v>2</v>
      </c>
      <c r="T18" s="112">
        <f t="shared" si="1"/>
        <v>1</v>
      </c>
      <c r="U18" s="184"/>
      <c r="V18" s="183"/>
      <c r="W18" s="183"/>
      <c r="X18" s="183"/>
      <c r="Y18" s="110"/>
      <c r="Z18" s="110"/>
      <c r="AA18" s="110">
        <f>SUM(AA14:AA17)</f>
        <v>3</v>
      </c>
      <c r="AB18" s="110">
        <f>SUM(AB14:AB17)</f>
        <v>7</v>
      </c>
      <c r="AC18" s="110">
        <f t="shared" ref="AC18:AE18" si="2">SUM(AC14:AC17)</f>
        <v>1</v>
      </c>
      <c r="AD18" s="112">
        <f t="shared" si="2"/>
        <v>1</v>
      </c>
      <c r="AE18" s="185"/>
      <c r="AF18" s="186"/>
      <c r="AG18" s="186"/>
      <c r="AH18" s="183"/>
      <c r="AI18" s="110"/>
      <c r="AJ18" s="110"/>
      <c r="AK18" s="114">
        <f>SUM(AK14:AK17)</f>
        <v>8</v>
      </c>
      <c r="AL18" s="114">
        <f t="shared" ref="AL18:AN18" si="3">SUM(AL14:AL17)</f>
        <v>1</v>
      </c>
      <c r="AM18" s="114">
        <f t="shared" si="3"/>
        <v>2</v>
      </c>
      <c r="AN18" s="116">
        <f t="shared" si="3"/>
        <v>1</v>
      </c>
    </row>
    <row r="19" spans="1:40">
      <c r="A19" s="113" t="s">
        <v>1</v>
      </c>
      <c r="B19" s="87" t="str">
        <f>A29</f>
        <v>Spain</v>
      </c>
      <c r="C19" s="87" t="s">
        <v>63</v>
      </c>
      <c r="D19" s="87" t="str">
        <f>A31</f>
        <v>Spain II</v>
      </c>
      <c r="E19" s="87" t="s">
        <v>63</v>
      </c>
      <c r="F19" s="82" t="s">
        <v>64</v>
      </c>
      <c r="G19" s="88" t="s">
        <v>65</v>
      </c>
      <c r="H19" s="88" t="s">
        <v>65</v>
      </c>
      <c r="I19" s="88" t="s">
        <v>66</v>
      </c>
      <c r="J19" s="89" t="s">
        <v>66</v>
      </c>
      <c r="K19" s="85" t="s">
        <v>1</v>
      </c>
      <c r="L19" s="86" t="str">
        <f>A35</f>
        <v>Scotland Saltire</v>
      </c>
      <c r="M19" s="86" t="s">
        <v>63</v>
      </c>
      <c r="N19" s="87" t="str">
        <f>A37</f>
        <v>Wales</v>
      </c>
      <c r="O19" s="87" t="s">
        <v>63</v>
      </c>
      <c r="P19" s="82" t="s">
        <v>64</v>
      </c>
      <c r="Q19" s="88" t="s">
        <v>65</v>
      </c>
      <c r="R19" s="88" t="s">
        <v>65</v>
      </c>
      <c r="S19" s="88" t="s">
        <v>66</v>
      </c>
      <c r="T19" s="89" t="s">
        <v>66</v>
      </c>
      <c r="U19" s="85" t="s">
        <v>1</v>
      </c>
      <c r="V19" s="86" t="str">
        <f>A41</f>
        <v>Denmark II</v>
      </c>
      <c r="W19" s="86" t="s">
        <v>63</v>
      </c>
      <c r="X19" s="87" t="str">
        <f>A43</f>
        <v>Australia</v>
      </c>
      <c r="Y19" s="87" t="s">
        <v>63</v>
      </c>
      <c r="Z19" s="82" t="s">
        <v>64</v>
      </c>
      <c r="AA19" s="88" t="s">
        <v>65</v>
      </c>
      <c r="AB19" s="88" t="s">
        <v>65</v>
      </c>
      <c r="AC19" s="88" t="s">
        <v>66</v>
      </c>
      <c r="AD19" s="90" t="s">
        <v>66</v>
      </c>
      <c r="AE19" s="107" t="s">
        <v>1</v>
      </c>
      <c r="AF19" s="86" t="str">
        <f>A47</f>
        <v>Pirates</v>
      </c>
      <c r="AG19" s="86" t="s">
        <v>63</v>
      </c>
      <c r="AH19" s="87" t="str">
        <f>A49</f>
        <v>N Ireland</v>
      </c>
      <c r="AI19" s="87" t="s">
        <v>63</v>
      </c>
      <c r="AJ19" s="82" t="s">
        <v>64</v>
      </c>
      <c r="AK19" s="88" t="s">
        <v>65</v>
      </c>
      <c r="AL19" s="88" t="s">
        <v>65</v>
      </c>
      <c r="AM19" s="88" t="s">
        <v>66</v>
      </c>
      <c r="AN19" s="90" t="s">
        <v>66</v>
      </c>
    </row>
    <row r="20" spans="1:40">
      <c r="A20" s="91">
        <v>10</v>
      </c>
      <c r="B20" s="93" t="s">
        <v>99</v>
      </c>
      <c r="C20" s="93" t="s">
        <v>73</v>
      </c>
      <c r="D20" s="94" t="s">
        <v>119</v>
      </c>
      <c r="E20" s="94" t="s">
        <v>120</v>
      </c>
      <c r="F20" s="94"/>
      <c r="G20" s="94">
        <v>3</v>
      </c>
      <c r="H20" s="94">
        <v>0</v>
      </c>
      <c r="I20" s="94">
        <v>1</v>
      </c>
      <c r="J20" s="95">
        <v>0</v>
      </c>
      <c r="K20" s="91">
        <v>7</v>
      </c>
      <c r="L20" s="93" t="s">
        <v>127</v>
      </c>
      <c r="M20" s="93" t="s">
        <v>79</v>
      </c>
      <c r="N20" s="94" t="s">
        <v>174</v>
      </c>
      <c r="O20" s="94" t="s">
        <v>16</v>
      </c>
      <c r="P20" s="94"/>
      <c r="Q20" s="94">
        <v>0</v>
      </c>
      <c r="R20" s="94">
        <v>3</v>
      </c>
      <c r="S20" s="94">
        <v>0</v>
      </c>
      <c r="T20" s="95">
        <v>1</v>
      </c>
      <c r="U20" s="91">
        <v>19</v>
      </c>
      <c r="V20" s="93" t="s">
        <v>94</v>
      </c>
      <c r="W20" s="93" t="s">
        <v>95</v>
      </c>
      <c r="X20" s="94" t="s">
        <v>91</v>
      </c>
      <c r="Y20" s="94" t="s">
        <v>71</v>
      </c>
      <c r="Z20" s="94"/>
      <c r="AA20" s="94">
        <v>1</v>
      </c>
      <c r="AB20" s="94">
        <v>1</v>
      </c>
      <c r="AC20" s="94">
        <v>1</v>
      </c>
      <c r="AD20" s="95">
        <v>0</v>
      </c>
      <c r="AE20" s="91">
        <v>4</v>
      </c>
      <c r="AF20" s="93" t="s">
        <v>75</v>
      </c>
      <c r="AG20" s="93" t="s">
        <v>73</v>
      </c>
      <c r="AH20" s="94" t="s">
        <v>191</v>
      </c>
      <c r="AI20" s="94" t="s">
        <v>71</v>
      </c>
      <c r="AJ20" s="94"/>
      <c r="AK20" s="94">
        <v>3</v>
      </c>
      <c r="AL20" s="94">
        <v>0</v>
      </c>
      <c r="AM20" s="94">
        <v>0</v>
      </c>
      <c r="AN20" s="96">
        <v>1</v>
      </c>
    </row>
    <row r="21" spans="1:40">
      <c r="A21" s="97">
        <v>11</v>
      </c>
      <c r="B21" s="98" t="s">
        <v>80</v>
      </c>
      <c r="C21" s="98" t="s">
        <v>71</v>
      </c>
      <c r="D21" s="99" t="s">
        <v>128</v>
      </c>
      <c r="E21" s="99" t="s">
        <v>83</v>
      </c>
      <c r="F21" s="99"/>
      <c r="G21" s="99">
        <v>1</v>
      </c>
      <c r="H21" s="99">
        <v>1</v>
      </c>
      <c r="I21" s="99">
        <v>1</v>
      </c>
      <c r="J21" s="100">
        <v>0</v>
      </c>
      <c r="K21" s="97">
        <v>8</v>
      </c>
      <c r="L21" s="98" t="s">
        <v>192</v>
      </c>
      <c r="M21" s="98" t="s">
        <v>16</v>
      </c>
      <c r="N21" s="99" t="s">
        <v>178</v>
      </c>
      <c r="O21" s="99" t="s">
        <v>73</v>
      </c>
      <c r="P21" s="99"/>
      <c r="Q21" s="99">
        <v>1</v>
      </c>
      <c r="R21" s="99">
        <v>1</v>
      </c>
      <c r="S21" s="99">
        <v>1</v>
      </c>
      <c r="T21" s="100">
        <v>0</v>
      </c>
      <c r="U21" s="97">
        <v>20</v>
      </c>
      <c r="V21" s="98" t="s">
        <v>74</v>
      </c>
      <c r="W21" s="98" t="s">
        <v>73</v>
      </c>
      <c r="X21" s="99" t="s">
        <v>193</v>
      </c>
      <c r="Y21" s="99" t="s">
        <v>83</v>
      </c>
      <c r="Z21" s="99"/>
      <c r="AA21" s="99">
        <v>3</v>
      </c>
      <c r="AB21" s="99">
        <v>0</v>
      </c>
      <c r="AC21" s="99">
        <v>1</v>
      </c>
      <c r="AD21" s="100">
        <v>0</v>
      </c>
      <c r="AE21" s="97">
        <v>5</v>
      </c>
      <c r="AF21" s="98" t="s">
        <v>194</v>
      </c>
      <c r="AG21" s="98" t="s">
        <v>95</v>
      </c>
      <c r="AH21" s="99" t="s">
        <v>88</v>
      </c>
      <c r="AI21" s="99" t="s">
        <v>73</v>
      </c>
      <c r="AJ21" s="99"/>
      <c r="AK21" s="99">
        <v>3</v>
      </c>
      <c r="AL21" s="99">
        <v>0</v>
      </c>
      <c r="AM21" s="99">
        <v>1</v>
      </c>
      <c r="AN21" s="101">
        <v>0</v>
      </c>
    </row>
    <row r="22" spans="1:40">
      <c r="A22" s="102">
        <v>12</v>
      </c>
      <c r="B22" s="98" t="s">
        <v>90</v>
      </c>
      <c r="C22" s="98" t="s">
        <v>16</v>
      </c>
      <c r="D22" s="99" t="s">
        <v>110</v>
      </c>
      <c r="E22" s="99" t="s">
        <v>124</v>
      </c>
      <c r="F22" s="99"/>
      <c r="G22" s="99">
        <v>3</v>
      </c>
      <c r="H22" s="99">
        <v>0</v>
      </c>
      <c r="I22" s="99">
        <v>1</v>
      </c>
      <c r="J22" s="100">
        <v>0</v>
      </c>
      <c r="K22" s="102">
        <v>9</v>
      </c>
      <c r="L22" s="98" t="s">
        <v>195</v>
      </c>
      <c r="M22" s="98" t="s">
        <v>83</v>
      </c>
      <c r="N22" s="99" t="s">
        <v>171</v>
      </c>
      <c r="O22" s="99" t="s">
        <v>71</v>
      </c>
      <c r="P22" s="99"/>
      <c r="Q22" s="99">
        <v>3</v>
      </c>
      <c r="R22" s="99">
        <v>0</v>
      </c>
      <c r="S22" s="99">
        <v>1</v>
      </c>
      <c r="T22" s="100">
        <v>0</v>
      </c>
      <c r="U22" s="102">
        <v>21</v>
      </c>
      <c r="V22" s="98" t="s">
        <v>196</v>
      </c>
      <c r="W22" s="98" t="s">
        <v>186</v>
      </c>
      <c r="X22" s="99" t="s">
        <v>81</v>
      </c>
      <c r="Y22" s="99" t="s">
        <v>73</v>
      </c>
      <c r="Z22" s="99"/>
      <c r="AA22" s="99">
        <v>3</v>
      </c>
      <c r="AB22" s="99">
        <v>0</v>
      </c>
      <c r="AC22" s="99">
        <v>1</v>
      </c>
      <c r="AD22" s="100">
        <v>0</v>
      </c>
      <c r="AE22" s="103">
        <v>6</v>
      </c>
      <c r="AF22" s="104" t="s">
        <v>187</v>
      </c>
      <c r="AG22" s="104" t="s">
        <v>71</v>
      </c>
      <c r="AH22" s="99" t="s">
        <v>197</v>
      </c>
      <c r="AI22" s="99" t="s">
        <v>124</v>
      </c>
      <c r="AJ22" s="99"/>
      <c r="AK22" s="99">
        <v>3</v>
      </c>
      <c r="AL22" s="99">
        <v>0</v>
      </c>
      <c r="AM22" s="99">
        <v>0</v>
      </c>
      <c r="AN22" s="101">
        <v>0</v>
      </c>
    </row>
    <row r="23" spans="1:40">
      <c r="A23" s="172" t="s">
        <v>101</v>
      </c>
      <c r="B23" s="176"/>
      <c r="C23" s="106"/>
      <c r="D23" s="99"/>
      <c r="E23" s="99"/>
      <c r="F23" s="99"/>
      <c r="G23" s="99">
        <v>1</v>
      </c>
      <c r="H23" s="99"/>
      <c r="I23" s="174"/>
      <c r="J23" s="175"/>
      <c r="K23" s="172" t="s">
        <v>101</v>
      </c>
      <c r="L23" s="176"/>
      <c r="M23" s="106"/>
      <c r="N23" s="99"/>
      <c r="O23" s="99"/>
      <c r="P23" s="99"/>
      <c r="Q23" s="99"/>
      <c r="R23" s="99"/>
      <c r="S23" s="174"/>
      <c r="T23" s="175"/>
      <c r="U23" s="172" t="s">
        <v>101</v>
      </c>
      <c r="V23" s="176"/>
      <c r="W23" s="106"/>
      <c r="X23" s="99"/>
      <c r="Y23" s="99"/>
      <c r="Z23" s="99"/>
      <c r="AA23" s="99">
        <v>1</v>
      </c>
      <c r="AB23" s="99"/>
      <c r="AC23" s="174"/>
      <c r="AD23" s="177"/>
      <c r="AE23" s="178" t="s">
        <v>101</v>
      </c>
      <c r="AF23" s="179"/>
      <c r="AG23" s="108"/>
      <c r="AH23" s="98"/>
      <c r="AI23" s="98"/>
      <c r="AJ23" s="98"/>
      <c r="AK23" s="99">
        <v>1</v>
      </c>
      <c r="AL23" s="99"/>
      <c r="AM23" s="174"/>
      <c r="AN23" s="175"/>
    </row>
    <row r="24" spans="1:40">
      <c r="A24" s="187"/>
      <c r="B24" s="188"/>
      <c r="C24" s="188"/>
      <c r="D24" s="188"/>
      <c r="E24" s="114"/>
      <c r="F24" s="114"/>
      <c r="G24" s="114">
        <f>SUM(G20:G23)</f>
        <v>8</v>
      </c>
      <c r="H24" s="114">
        <f t="shared" ref="H24:J24" si="4">SUM(H20:H23)</f>
        <v>1</v>
      </c>
      <c r="I24" s="114">
        <f t="shared" si="4"/>
        <v>3</v>
      </c>
      <c r="J24" s="115">
        <f t="shared" si="4"/>
        <v>0</v>
      </c>
      <c r="K24" s="187"/>
      <c r="L24" s="188"/>
      <c r="M24" s="188"/>
      <c r="N24" s="188"/>
      <c r="O24" s="114"/>
      <c r="P24" s="114"/>
      <c r="Q24" s="114">
        <f>SUM(Q20:Q23)</f>
        <v>4</v>
      </c>
      <c r="R24" s="114">
        <f>SUM(R20:R23)</f>
        <v>4</v>
      </c>
      <c r="S24" s="114">
        <f>SUM(S20:S23)</f>
        <v>2</v>
      </c>
      <c r="T24" s="116">
        <f>SUM(T20:T23)</f>
        <v>1</v>
      </c>
      <c r="U24" s="189"/>
      <c r="V24" s="188"/>
      <c r="W24" s="188"/>
      <c r="X24" s="188"/>
      <c r="Y24" s="114"/>
      <c r="Z24" s="114"/>
      <c r="AA24" s="114">
        <f>SUM(AA20:AA23)</f>
        <v>8</v>
      </c>
      <c r="AB24" s="114">
        <f t="shared" ref="AB24:AD24" si="5">SUM(AB20:AB23)</f>
        <v>1</v>
      </c>
      <c r="AC24" s="114">
        <f t="shared" si="5"/>
        <v>3</v>
      </c>
      <c r="AD24" s="116">
        <f t="shared" si="5"/>
        <v>0</v>
      </c>
      <c r="AE24" s="190"/>
      <c r="AF24" s="191"/>
      <c r="AG24" s="191"/>
      <c r="AH24" s="188"/>
      <c r="AI24" s="114"/>
      <c r="AJ24" s="114"/>
      <c r="AK24" s="114">
        <f>SUM(AK20:AK23)</f>
        <v>10</v>
      </c>
      <c r="AL24" s="114">
        <f t="shared" ref="AL24:AN24" si="6">SUM(AL20:AL23)</f>
        <v>0</v>
      </c>
      <c r="AM24" s="114">
        <f t="shared" si="6"/>
        <v>1</v>
      </c>
      <c r="AN24" s="116">
        <f t="shared" si="6"/>
        <v>1</v>
      </c>
    </row>
    <row r="26" spans="1:40">
      <c r="A26" t="s">
        <v>133</v>
      </c>
      <c r="I26" t="s">
        <v>134</v>
      </c>
    </row>
    <row r="27" spans="1:40">
      <c r="A27" t="s">
        <v>59</v>
      </c>
      <c r="B27" t="s">
        <v>65</v>
      </c>
      <c r="D27" t="s">
        <v>66</v>
      </c>
      <c r="I27" t="s">
        <v>65</v>
      </c>
      <c r="J27" t="s">
        <v>66</v>
      </c>
    </row>
    <row r="28" spans="1:40">
      <c r="A28" s="12" t="s">
        <v>21</v>
      </c>
      <c r="B28" t="s">
        <v>198</v>
      </c>
      <c r="C28">
        <v>16</v>
      </c>
    </row>
    <row r="29" spans="1:40">
      <c r="A29" s="12" t="s">
        <v>141</v>
      </c>
      <c r="B29" t="s">
        <v>199</v>
      </c>
      <c r="C29">
        <v>10</v>
      </c>
    </row>
    <row r="30" spans="1:40">
      <c r="A30" s="12" t="s">
        <v>136</v>
      </c>
      <c r="B30" t="s">
        <v>200</v>
      </c>
      <c r="C30">
        <v>16</v>
      </c>
    </row>
    <row r="31" spans="1:40">
      <c r="A31" s="12" t="s">
        <v>103</v>
      </c>
      <c r="B31" t="s">
        <v>201</v>
      </c>
      <c r="C31">
        <v>10</v>
      </c>
    </row>
    <row r="33" spans="1:3">
      <c r="A33" t="s">
        <v>60</v>
      </c>
    </row>
    <row r="34" spans="1:3">
      <c r="A34" s="12" t="s">
        <v>102</v>
      </c>
      <c r="B34" t="s">
        <v>202</v>
      </c>
      <c r="C34">
        <v>1</v>
      </c>
    </row>
    <row r="35" spans="1:3">
      <c r="A35" s="12" t="s">
        <v>203</v>
      </c>
      <c r="B35" t="s">
        <v>204</v>
      </c>
      <c r="C35">
        <v>7</v>
      </c>
    </row>
    <row r="36" spans="1:3">
      <c r="A36" s="12" t="s">
        <v>68</v>
      </c>
      <c r="B36" t="s">
        <v>205</v>
      </c>
      <c r="C36">
        <v>1</v>
      </c>
    </row>
    <row r="37" spans="1:3">
      <c r="A37" s="12" t="s">
        <v>144</v>
      </c>
      <c r="B37" t="s">
        <v>206</v>
      </c>
      <c r="C37">
        <v>7</v>
      </c>
    </row>
    <row r="39" spans="1:3">
      <c r="A39" t="s">
        <v>61</v>
      </c>
    </row>
    <row r="40" spans="1:3">
      <c r="A40" s="12" t="s">
        <v>49</v>
      </c>
      <c r="B40" t="s">
        <v>207</v>
      </c>
      <c r="C40">
        <v>13</v>
      </c>
    </row>
    <row r="41" spans="1:3">
      <c r="A41" s="12" t="s">
        <v>208</v>
      </c>
      <c r="B41" t="s">
        <v>209</v>
      </c>
      <c r="C41">
        <v>19</v>
      </c>
    </row>
    <row r="42" spans="1:3">
      <c r="A42" s="12" t="s">
        <v>143</v>
      </c>
      <c r="B42" t="s">
        <v>210</v>
      </c>
      <c r="C42">
        <v>13</v>
      </c>
    </row>
    <row r="43" spans="1:3">
      <c r="A43" s="12" t="s">
        <v>69</v>
      </c>
      <c r="B43" t="s">
        <v>211</v>
      </c>
      <c r="C43">
        <v>19</v>
      </c>
    </row>
    <row r="45" spans="1:3">
      <c r="A45" t="s">
        <v>62</v>
      </c>
    </row>
    <row r="46" spans="1:3">
      <c r="A46" s="12" t="s">
        <v>52</v>
      </c>
      <c r="B46" t="s">
        <v>212</v>
      </c>
      <c r="C46">
        <v>22</v>
      </c>
    </row>
    <row r="47" spans="1:3">
      <c r="A47" s="12" t="s">
        <v>104</v>
      </c>
      <c r="B47" t="s">
        <v>213</v>
      </c>
      <c r="C47">
        <v>4</v>
      </c>
    </row>
    <row r="48" spans="1:3">
      <c r="A48" s="12" t="s">
        <v>152</v>
      </c>
      <c r="B48" t="s">
        <v>214</v>
      </c>
      <c r="C48">
        <v>22</v>
      </c>
    </row>
    <row r="49" spans="1:3">
      <c r="A49" s="12" t="s">
        <v>67</v>
      </c>
      <c r="B49" t="s">
        <v>215</v>
      </c>
      <c r="C49">
        <v>4</v>
      </c>
    </row>
  </sheetData>
  <mergeCells count="28">
    <mergeCell ref="AM23:AN23"/>
    <mergeCell ref="A24:D24"/>
    <mergeCell ref="K24:N24"/>
    <mergeCell ref="U24:X24"/>
    <mergeCell ref="AE24:AH24"/>
    <mergeCell ref="A23:B23"/>
    <mergeCell ref="I23:J23"/>
    <mergeCell ref="K23:L23"/>
    <mergeCell ref="S23:T23"/>
    <mergeCell ref="U23:V23"/>
    <mergeCell ref="AC23:AD23"/>
    <mergeCell ref="A18:D18"/>
    <mergeCell ref="K18:N18"/>
    <mergeCell ref="U18:X18"/>
    <mergeCell ref="AE18:AH18"/>
    <mergeCell ref="AE23:AF23"/>
    <mergeCell ref="A12:J12"/>
    <mergeCell ref="K12:T12"/>
    <mergeCell ref="U12:AD12"/>
    <mergeCell ref="AE12:AN12"/>
    <mergeCell ref="A17:B17"/>
    <mergeCell ref="I17:J17"/>
    <mergeCell ref="K17:L17"/>
    <mergeCell ref="S17:T17"/>
    <mergeCell ref="U17:V17"/>
    <mergeCell ref="AC17:AD17"/>
    <mergeCell ref="AE17:AF17"/>
    <mergeCell ref="AM17:AN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1560-6217-4213-AE43-4B73AE9A0359}">
  <dimension ref="A2:AN49"/>
  <sheetViews>
    <sheetView topLeftCell="A10" workbookViewId="0">
      <selection activeCell="A20" sqref="A20:XFD22"/>
    </sheetView>
  </sheetViews>
  <sheetFormatPr defaultRowHeight="15"/>
  <cols>
    <col min="2" max="2" width="9" bestFit="1" customWidth="1"/>
    <col min="4" max="4" width="19.5703125" bestFit="1" customWidth="1"/>
    <col min="22" max="22" width="14.7109375" bestFit="1" customWidth="1"/>
    <col min="24" max="24" width="11.140625" bestFit="1" customWidth="1"/>
    <col min="32" max="32" width="11.85546875" bestFit="1" customWidth="1"/>
  </cols>
  <sheetData>
    <row r="2" spans="1:40">
      <c r="A2" t="s">
        <v>148</v>
      </c>
      <c r="B2" t="s">
        <v>216</v>
      </c>
      <c r="G2" t="s">
        <v>150</v>
      </c>
    </row>
    <row r="3" spans="1:40">
      <c r="A3" t="s">
        <v>151</v>
      </c>
      <c r="B3" s="79"/>
      <c r="C3" s="79"/>
      <c r="D3" s="79"/>
      <c r="E3" s="79"/>
      <c r="F3" s="79"/>
      <c r="G3" s="79">
        <v>123</v>
      </c>
      <c r="H3" s="79"/>
      <c r="I3" s="79"/>
      <c r="J3" s="79"/>
    </row>
    <row r="4" spans="1:40">
      <c r="B4" s="79"/>
      <c r="C4" s="79"/>
      <c r="D4" s="79"/>
      <c r="E4" s="79"/>
      <c r="F4" s="79"/>
      <c r="G4">
        <v>456</v>
      </c>
    </row>
    <row r="5" spans="1:40">
      <c r="B5" s="79"/>
      <c r="C5" s="79"/>
      <c r="D5" s="79"/>
      <c r="E5" s="79"/>
      <c r="F5" s="79"/>
      <c r="G5">
        <v>789</v>
      </c>
    </row>
    <row r="6" spans="1:40">
      <c r="B6" s="79"/>
      <c r="C6" s="79"/>
      <c r="D6" s="79"/>
      <c r="E6" s="79"/>
      <c r="F6" s="79"/>
      <c r="G6">
        <v>101112</v>
      </c>
    </row>
    <row r="7" spans="1:40">
      <c r="B7" s="79"/>
      <c r="C7" s="79"/>
      <c r="D7" s="79"/>
      <c r="E7" s="79"/>
      <c r="F7" s="79"/>
      <c r="G7">
        <v>131415</v>
      </c>
    </row>
    <row r="8" spans="1:40">
      <c r="B8" s="79"/>
      <c r="C8" s="79"/>
      <c r="D8" s="79"/>
      <c r="E8" s="79"/>
      <c r="F8" s="79"/>
      <c r="G8">
        <v>161718</v>
      </c>
    </row>
    <row r="9" spans="1:40">
      <c r="G9">
        <v>192021</v>
      </c>
    </row>
    <row r="10" spans="1:40">
      <c r="G10">
        <v>222324</v>
      </c>
    </row>
    <row r="11" spans="1:4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40">
      <c r="A12" s="166" t="s">
        <v>59</v>
      </c>
      <c r="B12" s="167"/>
      <c r="C12" s="167"/>
      <c r="D12" s="167"/>
      <c r="E12" s="167"/>
      <c r="F12" s="167"/>
      <c r="G12" s="167"/>
      <c r="H12" s="167"/>
      <c r="I12" s="167"/>
      <c r="J12" s="168"/>
      <c r="K12" s="166" t="s">
        <v>60</v>
      </c>
      <c r="L12" s="167"/>
      <c r="M12" s="167"/>
      <c r="N12" s="167"/>
      <c r="O12" s="167"/>
      <c r="P12" s="167"/>
      <c r="Q12" s="167"/>
      <c r="R12" s="167"/>
      <c r="S12" s="167"/>
      <c r="T12" s="168"/>
      <c r="U12" s="169" t="s">
        <v>61</v>
      </c>
      <c r="V12" s="170"/>
      <c r="W12" s="170"/>
      <c r="X12" s="170"/>
      <c r="Y12" s="170"/>
      <c r="Z12" s="170"/>
      <c r="AA12" s="170"/>
      <c r="AB12" s="170"/>
      <c r="AC12" s="170"/>
      <c r="AD12" s="171"/>
      <c r="AE12" s="169" t="s">
        <v>62</v>
      </c>
      <c r="AF12" s="170"/>
      <c r="AG12" s="170"/>
      <c r="AH12" s="170"/>
      <c r="AI12" s="170"/>
      <c r="AJ12" s="170"/>
      <c r="AK12" s="170"/>
      <c r="AL12" s="170"/>
      <c r="AM12" s="170"/>
      <c r="AN12" s="171"/>
    </row>
    <row r="13" spans="1:40">
      <c r="A13" s="80" t="s">
        <v>1</v>
      </c>
      <c r="B13" s="81" t="str">
        <f>A28</f>
        <v>Germany</v>
      </c>
      <c r="C13" s="81" t="s">
        <v>63</v>
      </c>
      <c r="D13" s="82" t="str">
        <f>A31</f>
        <v>Spain II</v>
      </c>
      <c r="E13" s="82" t="s">
        <v>63</v>
      </c>
      <c r="F13" s="82" t="s">
        <v>64</v>
      </c>
      <c r="G13" s="83" t="s">
        <v>65</v>
      </c>
      <c r="H13" s="83" t="s">
        <v>65</v>
      </c>
      <c r="I13" s="83" t="s">
        <v>66</v>
      </c>
      <c r="J13" s="84" t="s">
        <v>66</v>
      </c>
      <c r="K13" s="80" t="s">
        <v>1</v>
      </c>
      <c r="L13" s="81" t="str">
        <f>A34</f>
        <v>Mixed Nuts</v>
      </c>
      <c r="M13" s="81" t="s">
        <v>63</v>
      </c>
      <c r="N13" s="82" t="str">
        <f>A35</f>
        <v>Scotland Saltire</v>
      </c>
      <c r="O13" s="82" t="s">
        <v>63</v>
      </c>
      <c r="P13" s="82" t="s">
        <v>64</v>
      </c>
      <c r="Q13" s="83" t="s">
        <v>65</v>
      </c>
      <c r="R13" s="83" t="s">
        <v>65</v>
      </c>
      <c r="S13" s="83" t="s">
        <v>66</v>
      </c>
      <c r="T13" s="84" t="s">
        <v>66</v>
      </c>
      <c r="U13" s="85" t="s">
        <v>1</v>
      </c>
      <c r="V13" s="86" t="str">
        <f>A40</f>
        <v>Poland</v>
      </c>
      <c r="W13" s="86" t="s">
        <v>63</v>
      </c>
      <c r="X13" s="87" t="str">
        <f>A43</f>
        <v>Australia</v>
      </c>
      <c r="Y13" s="87" t="s">
        <v>63</v>
      </c>
      <c r="Z13" s="82" t="s">
        <v>64</v>
      </c>
      <c r="AA13" s="88" t="s">
        <v>65</v>
      </c>
      <c r="AB13" s="88" t="s">
        <v>65</v>
      </c>
      <c r="AC13" s="88" t="s">
        <v>66</v>
      </c>
      <c r="AD13" s="89" t="s">
        <v>66</v>
      </c>
      <c r="AE13" s="85" t="s">
        <v>1</v>
      </c>
      <c r="AF13" s="86" t="str">
        <f>A46</f>
        <v>Netherlands</v>
      </c>
      <c r="AG13" s="86" t="s">
        <v>63</v>
      </c>
      <c r="AH13" s="87" t="str">
        <f>A49</f>
        <v>N Ireland</v>
      </c>
      <c r="AI13" s="87" t="s">
        <v>63</v>
      </c>
      <c r="AJ13" s="82" t="s">
        <v>64</v>
      </c>
      <c r="AK13" s="88" t="s">
        <v>65</v>
      </c>
      <c r="AL13" s="88" t="s">
        <v>65</v>
      </c>
      <c r="AM13" s="88" t="s">
        <v>66</v>
      </c>
      <c r="AN13" s="90" t="s">
        <v>66</v>
      </c>
    </row>
    <row r="14" spans="1:40">
      <c r="A14" s="91">
        <v>1</v>
      </c>
      <c r="B14" s="92" t="s">
        <v>182</v>
      </c>
      <c r="C14" s="93" t="s">
        <v>83</v>
      </c>
      <c r="D14" s="94" t="s">
        <v>128</v>
      </c>
      <c r="E14" s="94" t="s">
        <v>83</v>
      </c>
      <c r="F14" s="94"/>
      <c r="G14" s="94">
        <v>0</v>
      </c>
      <c r="H14" s="94">
        <v>3</v>
      </c>
      <c r="I14" s="94">
        <v>1</v>
      </c>
      <c r="J14" s="95">
        <v>0</v>
      </c>
      <c r="K14" s="91" t="s">
        <v>217</v>
      </c>
      <c r="L14" s="93" t="s">
        <v>218</v>
      </c>
      <c r="M14" s="93" t="s">
        <v>16</v>
      </c>
      <c r="N14" s="94" t="s">
        <v>183</v>
      </c>
      <c r="O14" s="94" t="s">
        <v>83</v>
      </c>
      <c r="P14" s="94"/>
      <c r="Q14" s="94">
        <v>0</v>
      </c>
      <c r="R14" s="94">
        <v>3</v>
      </c>
      <c r="S14" s="94">
        <v>0</v>
      </c>
      <c r="T14" s="95">
        <v>1</v>
      </c>
      <c r="U14" s="91" t="s">
        <v>182</v>
      </c>
      <c r="V14" s="93" t="s">
        <v>92</v>
      </c>
      <c r="W14" s="93" t="s">
        <v>73</v>
      </c>
      <c r="X14" s="94" t="s">
        <v>219</v>
      </c>
      <c r="Y14" s="94" t="s">
        <v>83</v>
      </c>
      <c r="Z14" s="94"/>
      <c r="AA14" s="94">
        <v>3</v>
      </c>
      <c r="AB14" s="94">
        <v>0</v>
      </c>
      <c r="AC14" s="94">
        <v>1</v>
      </c>
      <c r="AD14" s="95">
        <v>0</v>
      </c>
      <c r="AE14" s="91" t="s">
        <v>137</v>
      </c>
      <c r="AF14" s="93" t="s">
        <v>72</v>
      </c>
      <c r="AG14" s="93" t="s">
        <v>73</v>
      </c>
      <c r="AH14" s="94" t="s">
        <v>96</v>
      </c>
      <c r="AI14" s="94" t="s">
        <v>220</v>
      </c>
      <c r="AJ14" s="94"/>
      <c r="AK14" s="94">
        <v>1</v>
      </c>
      <c r="AL14" s="94">
        <v>1</v>
      </c>
      <c r="AM14" s="94">
        <v>1</v>
      </c>
      <c r="AN14" s="96">
        <v>0</v>
      </c>
    </row>
    <row r="15" spans="1:40">
      <c r="A15" s="97">
        <v>2</v>
      </c>
      <c r="B15" s="98" t="s">
        <v>221</v>
      </c>
      <c r="C15" s="98" t="s">
        <v>79</v>
      </c>
      <c r="D15" s="99" t="s">
        <v>110</v>
      </c>
      <c r="E15" s="99" t="s">
        <v>124</v>
      </c>
      <c r="F15" s="99"/>
      <c r="G15" s="99">
        <v>1</v>
      </c>
      <c r="H15" s="99">
        <v>1</v>
      </c>
      <c r="I15" s="99">
        <v>0</v>
      </c>
      <c r="J15" s="100">
        <v>1</v>
      </c>
      <c r="K15" s="97" t="s">
        <v>222</v>
      </c>
      <c r="L15" s="98" t="s">
        <v>162</v>
      </c>
      <c r="M15" s="98" t="s">
        <v>73</v>
      </c>
      <c r="N15" s="99" t="s">
        <v>192</v>
      </c>
      <c r="O15" s="99" t="s">
        <v>16</v>
      </c>
      <c r="P15" s="99"/>
      <c r="Q15" s="99">
        <v>3</v>
      </c>
      <c r="R15" s="99">
        <v>0</v>
      </c>
      <c r="S15" s="99">
        <v>1</v>
      </c>
      <c r="T15" s="100">
        <v>0</v>
      </c>
      <c r="U15" s="97" t="s">
        <v>223</v>
      </c>
      <c r="V15" s="98" t="s">
        <v>190</v>
      </c>
      <c r="W15" s="98" t="s">
        <v>83</v>
      </c>
      <c r="X15" s="99" t="s">
        <v>81</v>
      </c>
      <c r="Y15" s="99" t="s">
        <v>73</v>
      </c>
      <c r="Z15" s="99"/>
      <c r="AA15" s="99">
        <v>3</v>
      </c>
      <c r="AB15" s="99">
        <v>0</v>
      </c>
      <c r="AC15" s="99">
        <v>1</v>
      </c>
      <c r="AD15" s="100">
        <v>0</v>
      </c>
      <c r="AE15" s="97" t="s">
        <v>138</v>
      </c>
      <c r="AF15" s="98" t="s">
        <v>93</v>
      </c>
      <c r="AG15" s="98" t="s">
        <v>16</v>
      </c>
      <c r="AH15" s="99" t="s">
        <v>88</v>
      </c>
      <c r="AI15" s="99" t="s">
        <v>73</v>
      </c>
      <c r="AJ15" s="99"/>
      <c r="AK15" s="99">
        <v>3</v>
      </c>
      <c r="AL15" s="99">
        <v>0</v>
      </c>
      <c r="AM15" s="99">
        <v>0</v>
      </c>
      <c r="AN15" s="101">
        <v>1</v>
      </c>
    </row>
    <row r="16" spans="1:40">
      <c r="A16" s="102">
        <v>3</v>
      </c>
      <c r="B16" s="98" t="s">
        <v>224</v>
      </c>
      <c r="C16" s="98" t="s">
        <v>73</v>
      </c>
      <c r="D16" s="99" t="s">
        <v>119</v>
      </c>
      <c r="E16" s="99" t="s">
        <v>225</v>
      </c>
      <c r="F16" s="99"/>
      <c r="G16" s="99">
        <v>0</v>
      </c>
      <c r="H16" s="99">
        <v>3</v>
      </c>
      <c r="I16" s="99">
        <v>1</v>
      </c>
      <c r="J16" s="100">
        <v>0</v>
      </c>
      <c r="K16" s="102" t="s">
        <v>226</v>
      </c>
      <c r="L16" s="98" t="s">
        <v>117</v>
      </c>
      <c r="M16" s="98" t="s">
        <v>71</v>
      </c>
      <c r="N16" s="99" t="s">
        <v>127</v>
      </c>
      <c r="O16" s="99" t="s">
        <v>154</v>
      </c>
      <c r="P16" s="99"/>
      <c r="Q16" s="99">
        <v>3</v>
      </c>
      <c r="R16" s="99">
        <v>0</v>
      </c>
      <c r="S16" s="99">
        <v>0</v>
      </c>
      <c r="T16" s="100">
        <v>0</v>
      </c>
      <c r="U16" s="102" t="s">
        <v>227</v>
      </c>
      <c r="V16" s="98" t="s">
        <v>70</v>
      </c>
      <c r="W16" s="98" t="s">
        <v>71</v>
      </c>
      <c r="X16" s="99" t="s">
        <v>91</v>
      </c>
      <c r="Y16" s="99" t="s">
        <v>71</v>
      </c>
      <c r="Z16" s="99"/>
      <c r="AA16" s="99">
        <v>3</v>
      </c>
      <c r="AB16" s="99">
        <v>0</v>
      </c>
      <c r="AC16" s="99">
        <v>0</v>
      </c>
      <c r="AD16" s="100">
        <v>0</v>
      </c>
      <c r="AE16" s="103" t="s">
        <v>139</v>
      </c>
      <c r="AF16" s="104" t="s">
        <v>84</v>
      </c>
      <c r="AG16" s="104" t="s">
        <v>83</v>
      </c>
      <c r="AH16" s="99" t="s">
        <v>75</v>
      </c>
      <c r="AI16" s="99" t="s">
        <v>71</v>
      </c>
      <c r="AJ16" s="99"/>
      <c r="AK16" s="99">
        <v>3</v>
      </c>
      <c r="AL16" s="99">
        <v>0</v>
      </c>
      <c r="AM16" s="99">
        <v>0</v>
      </c>
      <c r="AN16" s="101">
        <v>1</v>
      </c>
    </row>
    <row r="17" spans="1:40">
      <c r="A17" s="172" t="s">
        <v>101</v>
      </c>
      <c r="B17" s="173"/>
      <c r="C17" s="105"/>
      <c r="D17" s="99"/>
      <c r="E17" s="99"/>
      <c r="F17" s="99"/>
      <c r="G17" s="99"/>
      <c r="H17" s="99">
        <v>1</v>
      </c>
      <c r="I17" s="174"/>
      <c r="J17" s="175"/>
      <c r="K17" s="172" t="s">
        <v>101</v>
      </c>
      <c r="L17" s="176"/>
      <c r="M17" s="106"/>
      <c r="N17" s="99"/>
      <c r="O17" s="99"/>
      <c r="P17" s="99"/>
      <c r="Q17" s="99">
        <v>1</v>
      </c>
      <c r="R17" s="99"/>
      <c r="S17" s="174"/>
      <c r="T17" s="175"/>
      <c r="U17" s="172" t="s">
        <v>101</v>
      </c>
      <c r="V17" s="176"/>
      <c r="W17" s="106"/>
      <c r="X17" s="99"/>
      <c r="Y17" s="99"/>
      <c r="Z17" s="99"/>
      <c r="AA17" s="99">
        <v>1</v>
      </c>
      <c r="AB17" s="99"/>
      <c r="AC17" s="174"/>
      <c r="AD17" s="177"/>
      <c r="AE17" s="178" t="s">
        <v>101</v>
      </c>
      <c r="AF17" s="179"/>
      <c r="AG17" s="108"/>
      <c r="AH17" s="98"/>
      <c r="AI17" s="98"/>
      <c r="AJ17" s="98"/>
      <c r="AK17" s="99"/>
      <c r="AL17" s="99"/>
      <c r="AM17" s="174"/>
      <c r="AN17" s="175"/>
    </row>
    <row r="18" spans="1:40">
      <c r="A18" s="180"/>
      <c r="B18" s="181"/>
      <c r="C18" s="181"/>
      <c r="D18" s="181"/>
      <c r="E18" s="109"/>
      <c r="F18" s="109"/>
      <c r="G18" s="110">
        <f>SUM(G14:G17)</f>
        <v>1</v>
      </c>
      <c r="H18" s="110">
        <f t="shared" ref="H18:I18" si="0">SUM(H14:H17)</f>
        <v>8</v>
      </c>
      <c r="I18" s="110">
        <f t="shared" si="0"/>
        <v>2</v>
      </c>
      <c r="J18" s="111">
        <f>SUM(J14:J17)</f>
        <v>1</v>
      </c>
      <c r="K18" s="182"/>
      <c r="L18" s="183"/>
      <c r="M18" s="183"/>
      <c r="N18" s="183"/>
      <c r="O18" s="110"/>
      <c r="P18" s="110"/>
      <c r="Q18" s="110">
        <f>SUM(Q14:Q17)</f>
        <v>7</v>
      </c>
      <c r="R18" s="110">
        <f t="shared" ref="R18:T18" si="1">SUM(R14:R17)</f>
        <v>3</v>
      </c>
      <c r="S18" s="110">
        <f t="shared" si="1"/>
        <v>1</v>
      </c>
      <c r="T18" s="112">
        <f t="shared" si="1"/>
        <v>1</v>
      </c>
      <c r="U18" s="184"/>
      <c r="V18" s="183"/>
      <c r="W18" s="183"/>
      <c r="X18" s="183"/>
      <c r="Y18" s="110"/>
      <c r="Z18" s="110"/>
      <c r="AA18" s="110">
        <f>SUM(AA14:AA17)</f>
        <v>10</v>
      </c>
      <c r="AB18" s="110">
        <f>SUM(AB14:AB17)</f>
        <v>0</v>
      </c>
      <c r="AC18" s="110">
        <f t="shared" ref="AC18:AE18" si="2">SUM(AC14:AC17)</f>
        <v>2</v>
      </c>
      <c r="AD18" s="112">
        <f t="shared" si="2"/>
        <v>0</v>
      </c>
      <c r="AE18" s="185"/>
      <c r="AF18" s="186"/>
      <c r="AG18" s="186"/>
      <c r="AH18" s="183"/>
      <c r="AI18" s="110"/>
      <c r="AJ18" s="110"/>
      <c r="AK18" s="114">
        <f>SUM(AK14:AK17)</f>
        <v>7</v>
      </c>
      <c r="AL18" s="114">
        <f t="shared" ref="AL18:AN18" si="3">SUM(AL14:AL17)</f>
        <v>1</v>
      </c>
      <c r="AM18" s="114">
        <f t="shared" si="3"/>
        <v>1</v>
      </c>
      <c r="AN18" s="116">
        <f t="shared" si="3"/>
        <v>2</v>
      </c>
    </row>
    <row r="19" spans="1:40">
      <c r="A19" s="113" t="s">
        <v>1</v>
      </c>
      <c r="B19" s="87" t="str">
        <f>A29</f>
        <v>Spain</v>
      </c>
      <c r="C19" s="87" t="s">
        <v>63</v>
      </c>
      <c r="D19" s="87" t="str">
        <f>A30</f>
        <v>England</v>
      </c>
      <c r="E19" s="87" t="s">
        <v>63</v>
      </c>
      <c r="F19" s="82" t="s">
        <v>64</v>
      </c>
      <c r="G19" s="88" t="s">
        <v>65</v>
      </c>
      <c r="H19" s="88" t="s">
        <v>65</v>
      </c>
      <c r="I19" s="88" t="s">
        <v>66</v>
      </c>
      <c r="J19" s="89" t="s">
        <v>66</v>
      </c>
      <c r="K19" s="85" t="s">
        <v>1</v>
      </c>
      <c r="L19" s="86" t="str">
        <f>A37</f>
        <v>Wales</v>
      </c>
      <c r="M19" s="86" t="s">
        <v>63</v>
      </c>
      <c r="N19" s="87" t="str">
        <f>A36</f>
        <v>Barbarians</v>
      </c>
      <c r="O19" s="87" t="s">
        <v>63</v>
      </c>
      <c r="P19" s="82" t="s">
        <v>64</v>
      </c>
      <c r="Q19" s="88" t="s">
        <v>65</v>
      </c>
      <c r="R19" s="88" t="s">
        <v>65</v>
      </c>
      <c r="S19" s="88" t="s">
        <v>66</v>
      </c>
      <c r="T19" s="89" t="s">
        <v>66</v>
      </c>
      <c r="U19" s="85" t="s">
        <v>1</v>
      </c>
      <c r="V19" s="86" t="str">
        <f>A41</f>
        <v>Denmark II</v>
      </c>
      <c r="W19" s="86" t="s">
        <v>63</v>
      </c>
      <c r="X19" s="87" t="str">
        <f>A42</f>
        <v>British Lions</v>
      </c>
      <c r="Y19" s="87" t="s">
        <v>63</v>
      </c>
      <c r="Z19" s="82" t="s">
        <v>64</v>
      </c>
      <c r="AA19" s="88" t="s">
        <v>65</v>
      </c>
      <c r="AB19" s="88" t="s">
        <v>65</v>
      </c>
      <c r="AC19" s="88" t="s">
        <v>66</v>
      </c>
      <c r="AD19" s="90" t="s">
        <v>66</v>
      </c>
      <c r="AE19" s="107" t="s">
        <v>1</v>
      </c>
      <c r="AF19" s="86" t="str">
        <f>A47</f>
        <v>Pirates</v>
      </c>
      <c r="AG19" s="86" t="s">
        <v>63</v>
      </c>
      <c r="AH19" s="87" t="str">
        <f>A48</f>
        <v>Germany II</v>
      </c>
      <c r="AI19" s="87" t="s">
        <v>63</v>
      </c>
      <c r="AJ19" s="82" t="s">
        <v>64</v>
      </c>
      <c r="AK19" s="88" t="s">
        <v>65</v>
      </c>
      <c r="AL19" s="88" t="s">
        <v>65</v>
      </c>
      <c r="AM19" s="88" t="s">
        <v>66</v>
      </c>
      <c r="AN19" s="90" t="s">
        <v>66</v>
      </c>
    </row>
    <row r="20" spans="1:40">
      <c r="A20" s="91">
        <v>22</v>
      </c>
      <c r="B20" s="93" t="s">
        <v>90</v>
      </c>
      <c r="C20" s="93" t="s">
        <v>16</v>
      </c>
      <c r="D20" s="99" t="s">
        <v>100</v>
      </c>
      <c r="E20" s="94" t="s">
        <v>95</v>
      </c>
      <c r="F20" s="94"/>
      <c r="G20" s="94">
        <v>1</v>
      </c>
      <c r="H20" s="94">
        <v>1</v>
      </c>
      <c r="I20" s="94">
        <v>1</v>
      </c>
      <c r="J20" s="95">
        <v>0</v>
      </c>
      <c r="K20" s="91" t="s">
        <v>228</v>
      </c>
      <c r="L20" s="93" t="s">
        <v>174</v>
      </c>
      <c r="M20" s="93" t="s">
        <v>124</v>
      </c>
      <c r="N20" s="94" t="s">
        <v>173</v>
      </c>
      <c r="O20" s="94" t="s">
        <v>16</v>
      </c>
      <c r="P20" s="94"/>
      <c r="Q20" s="94">
        <v>1</v>
      </c>
      <c r="R20" s="94">
        <v>1</v>
      </c>
      <c r="S20" s="94">
        <v>0</v>
      </c>
      <c r="T20" s="95">
        <v>0</v>
      </c>
      <c r="U20" s="91" t="s">
        <v>140</v>
      </c>
      <c r="V20" s="93" t="s">
        <v>94</v>
      </c>
      <c r="W20" s="93" t="s">
        <v>95</v>
      </c>
      <c r="X20" s="94" t="s">
        <v>176</v>
      </c>
      <c r="Y20" s="94" t="s">
        <v>16</v>
      </c>
      <c r="Z20" s="94"/>
      <c r="AA20" s="94">
        <v>3</v>
      </c>
      <c r="AB20" s="94">
        <v>0</v>
      </c>
      <c r="AC20" s="94">
        <v>1</v>
      </c>
      <c r="AD20" s="95">
        <v>0</v>
      </c>
      <c r="AE20" s="91" t="s">
        <v>229</v>
      </c>
      <c r="AF20" s="93" t="s">
        <v>194</v>
      </c>
      <c r="AG20" s="93" t="s">
        <v>95</v>
      </c>
      <c r="AH20" s="94" t="s">
        <v>230</v>
      </c>
      <c r="AI20" s="94" t="s">
        <v>71</v>
      </c>
      <c r="AJ20" s="94"/>
      <c r="AK20" s="94">
        <v>3</v>
      </c>
      <c r="AL20" s="94">
        <v>0</v>
      </c>
      <c r="AM20" s="94">
        <v>1</v>
      </c>
      <c r="AN20" s="96">
        <v>0</v>
      </c>
    </row>
    <row r="21" spans="1:40">
      <c r="A21" s="97">
        <v>23</v>
      </c>
      <c r="B21" s="98" t="s">
        <v>99</v>
      </c>
      <c r="C21" s="98" t="s">
        <v>73</v>
      </c>
      <c r="D21" s="94" t="s">
        <v>116</v>
      </c>
      <c r="E21" s="99" t="s">
        <v>83</v>
      </c>
      <c r="F21" s="99"/>
      <c r="G21" s="99">
        <v>1</v>
      </c>
      <c r="H21" s="99">
        <v>1</v>
      </c>
      <c r="I21" s="99">
        <v>1</v>
      </c>
      <c r="J21" s="100">
        <v>0</v>
      </c>
      <c r="K21" s="97" t="s">
        <v>231</v>
      </c>
      <c r="L21" s="98" t="s">
        <v>171</v>
      </c>
      <c r="M21" s="98" t="s">
        <v>71</v>
      </c>
      <c r="N21" s="99" t="s">
        <v>23</v>
      </c>
      <c r="O21" s="99" t="s">
        <v>71</v>
      </c>
      <c r="P21" s="99"/>
      <c r="Q21" s="99">
        <v>1</v>
      </c>
      <c r="R21" s="99">
        <v>1</v>
      </c>
      <c r="S21" s="99">
        <v>1</v>
      </c>
      <c r="T21" s="100">
        <v>0</v>
      </c>
      <c r="U21" s="97" t="s">
        <v>232</v>
      </c>
      <c r="V21" s="98" t="s">
        <v>196</v>
      </c>
      <c r="W21" s="98" t="s">
        <v>71</v>
      </c>
      <c r="X21" s="99" t="s">
        <v>129</v>
      </c>
      <c r="Y21" s="99" t="s">
        <v>71</v>
      </c>
      <c r="Z21" s="99"/>
      <c r="AA21" s="99">
        <v>1</v>
      </c>
      <c r="AB21" s="99">
        <v>1</v>
      </c>
      <c r="AC21" s="99">
        <v>0</v>
      </c>
      <c r="AD21" s="100">
        <v>0</v>
      </c>
      <c r="AE21" s="97" t="s">
        <v>233</v>
      </c>
      <c r="AF21" s="98" t="s">
        <v>75</v>
      </c>
      <c r="AG21" s="98" t="s">
        <v>73</v>
      </c>
      <c r="AH21" s="99" t="s">
        <v>234</v>
      </c>
      <c r="AI21" s="99" t="s">
        <v>95</v>
      </c>
      <c r="AJ21" s="99"/>
      <c r="AK21" s="99">
        <v>3</v>
      </c>
      <c r="AL21" s="99">
        <v>0</v>
      </c>
      <c r="AM21" s="99">
        <v>1</v>
      </c>
      <c r="AN21" s="101">
        <v>0</v>
      </c>
    </row>
    <row r="22" spans="1:40">
      <c r="A22" s="102">
        <v>24</v>
      </c>
      <c r="B22" s="98" t="s">
        <v>80</v>
      </c>
      <c r="C22" s="98" t="s">
        <v>71</v>
      </c>
      <c r="D22" s="99" t="s">
        <v>180</v>
      </c>
      <c r="E22" s="99" t="s">
        <v>73</v>
      </c>
      <c r="F22" s="99"/>
      <c r="G22" s="99">
        <v>0</v>
      </c>
      <c r="H22" s="99">
        <v>3</v>
      </c>
      <c r="I22" s="99">
        <v>0</v>
      </c>
      <c r="J22" s="100">
        <v>0</v>
      </c>
      <c r="K22" s="102" t="s">
        <v>235</v>
      </c>
      <c r="L22" s="98" t="s">
        <v>178</v>
      </c>
      <c r="M22" s="98" t="s">
        <v>73</v>
      </c>
      <c r="N22" s="99" t="s">
        <v>170</v>
      </c>
      <c r="O22" s="99" t="s">
        <v>154</v>
      </c>
      <c r="P22" s="99"/>
      <c r="Q22" s="99">
        <v>3</v>
      </c>
      <c r="R22" s="99">
        <v>0</v>
      </c>
      <c r="S22" s="99">
        <v>0</v>
      </c>
      <c r="T22" s="100">
        <v>1</v>
      </c>
      <c r="U22" s="102" t="s">
        <v>236</v>
      </c>
      <c r="V22" s="98" t="s">
        <v>74</v>
      </c>
      <c r="W22" s="98" t="s">
        <v>73</v>
      </c>
      <c r="X22" s="99" t="s">
        <v>121</v>
      </c>
      <c r="Y22" s="99" t="s">
        <v>237</v>
      </c>
      <c r="Z22" s="99"/>
      <c r="AA22" s="99">
        <v>3</v>
      </c>
      <c r="AB22" s="99">
        <v>0</v>
      </c>
      <c r="AC22" s="99">
        <v>1</v>
      </c>
      <c r="AD22" s="100">
        <v>0</v>
      </c>
      <c r="AE22" s="103" t="s">
        <v>238</v>
      </c>
      <c r="AF22" s="104" t="s">
        <v>239</v>
      </c>
      <c r="AG22" s="104" t="s">
        <v>71</v>
      </c>
      <c r="AH22" s="99" t="s">
        <v>240</v>
      </c>
      <c r="AI22" s="99" t="s">
        <v>83</v>
      </c>
      <c r="AJ22" s="99"/>
      <c r="AK22" s="99">
        <v>1</v>
      </c>
      <c r="AL22" s="99">
        <v>1</v>
      </c>
      <c r="AM22" s="99">
        <v>1</v>
      </c>
      <c r="AN22" s="101">
        <v>0</v>
      </c>
    </row>
    <row r="23" spans="1:40">
      <c r="A23" s="172" t="s">
        <v>101</v>
      </c>
      <c r="B23" s="176"/>
      <c r="C23" s="106"/>
      <c r="D23" s="99"/>
      <c r="E23" s="99"/>
      <c r="F23" s="99"/>
      <c r="G23" s="99"/>
      <c r="H23" s="99">
        <v>1</v>
      </c>
      <c r="I23" s="174"/>
      <c r="J23" s="175"/>
      <c r="K23" s="172" t="s">
        <v>101</v>
      </c>
      <c r="L23" s="176"/>
      <c r="M23" s="106"/>
      <c r="N23" s="99"/>
      <c r="O23" s="99"/>
      <c r="P23" s="99"/>
      <c r="Q23" s="99">
        <v>1</v>
      </c>
      <c r="R23" s="99"/>
      <c r="S23" s="174"/>
      <c r="T23" s="175"/>
      <c r="U23" s="172" t="s">
        <v>101</v>
      </c>
      <c r="V23" s="176"/>
      <c r="W23" s="106"/>
      <c r="X23" s="99"/>
      <c r="Y23" s="99"/>
      <c r="Z23" s="99"/>
      <c r="AA23" s="99">
        <v>1</v>
      </c>
      <c r="AB23" s="99"/>
      <c r="AC23" s="174"/>
      <c r="AD23" s="177"/>
      <c r="AE23" s="178" t="s">
        <v>101</v>
      </c>
      <c r="AF23" s="179"/>
      <c r="AG23" s="108"/>
      <c r="AH23" s="98"/>
      <c r="AI23" s="98"/>
      <c r="AJ23" s="98"/>
      <c r="AK23" s="99">
        <v>1</v>
      </c>
      <c r="AL23" s="99"/>
      <c r="AM23" s="174"/>
      <c r="AN23" s="175"/>
    </row>
    <row r="24" spans="1:40">
      <c r="A24" s="187"/>
      <c r="B24" s="188"/>
      <c r="C24" s="188"/>
      <c r="D24" s="188"/>
      <c r="E24" s="114"/>
      <c r="F24" s="114"/>
      <c r="G24" s="114">
        <f>SUM(G20:G23)</f>
        <v>2</v>
      </c>
      <c r="H24" s="114">
        <f t="shared" ref="H24:J24" si="4">SUM(H20:H23)</f>
        <v>6</v>
      </c>
      <c r="I24" s="114">
        <f t="shared" si="4"/>
        <v>2</v>
      </c>
      <c r="J24" s="115">
        <f t="shared" si="4"/>
        <v>0</v>
      </c>
      <c r="K24" s="187"/>
      <c r="L24" s="188"/>
      <c r="M24" s="188"/>
      <c r="N24" s="188"/>
      <c r="O24" s="114"/>
      <c r="P24" s="114"/>
      <c r="Q24" s="114">
        <f>SUM(Q20:Q23)</f>
        <v>6</v>
      </c>
      <c r="R24" s="114">
        <f>SUM(R20:R23)</f>
        <v>2</v>
      </c>
      <c r="S24" s="114">
        <f>SUM(S20:S23)</f>
        <v>1</v>
      </c>
      <c r="T24" s="116">
        <f>SUM(T20:T23)</f>
        <v>1</v>
      </c>
      <c r="U24" s="189"/>
      <c r="V24" s="188"/>
      <c r="W24" s="188"/>
      <c r="X24" s="188"/>
      <c r="Y24" s="114"/>
      <c r="Z24" s="114"/>
      <c r="AA24" s="114">
        <f>SUM(AA20:AA23)</f>
        <v>8</v>
      </c>
      <c r="AB24" s="114">
        <f t="shared" ref="AB24:AD24" si="5">SUM(AB20:AB23)</f>
        <v>1</v>
      </c>
      <c r="AC24" s="114">
        <f t="shared" si="5"/>
        <v>2</v>
      </c>
      <c r="AD24" s="116">
        <f t="shared" si="5"/>
        <v>0</v>
      </c>
      <c r="AE24" s="190"/>
      <c r="AF24" s="191"/>
      <c r="AG24" s="191"/>
      <c r="AH24" s="188"/>
      <c r="AI24" s="114"/>
      <c r="AJ24" s="114"/>
      <c r="AK24" s="114">
        <f>SUM(AK20:AK23)</f>
        <v>8</v>
      </c>
      <c r="AL24" s="114">
        <f t="shared" ref="AL24:AN24" si="6">SUM(AL20:AL23)</f>
        <v>1</v>
      </c>
      <c r="AM24" s="114">
        <f t="shared" si="6"/>
        <v>3</v>
      </c>
      <c r="AN24" s="116">
        <f t="shared" si="6"/>
        <v>0</v>
      </c>
    </row>
    <row r="25" spans="1:40">
      <c r="D25" s="99"/>
    </row>
    <row r="27" spans="1:40">
      <c r="A27" s="12"/>
    </row>
    <row r="28" spans="1:40">
      <c r="A28" s="12" t="s">
        <v>21</v>
      </c>
      <c r="B28" t="s">
        <v>198</v>
      </c>
      <c r="C28">
        <v>16</v>
      </c>
      <c r="D28">
        <v>1</v>
      </c>
    </row>
    <row r="29" spans="1:40">
      <c r="A29" s="12" t="s">
        <v>141</v>
      </c>
      <c r="B29" t="s">
        <v>199</v>
      </c>
      <c r="C29">
        <v>10</v>
      </c>
      <c r="D29">
        <v>22</v>
      </c>
    </row>
    <row r="30" spans="1:40">
      <c r="A30" s="12" t="s">
        <v>136</v>
      </c>
      <c r="B30" t="s">
        <v>200</v>
      </c>
      <c r="C30">
        <v>16</v>
      </c>
      <c r="D30">
        <v>22</v>
      </c>
    </row>
    <row r="31" spans="1:40">
      <c r="A31" s="12" t="s">
        <v>103</v>
      </c>
      <c r="B31" t="s">
        <v>201</v>
      </c>
      <c r="C31">
        <v>10</v>
      </c>
      <c r="D31">
        <v>1</v>
      </c>
    </row>
    <row r="33" spans="1:4">
      <c r="A33" t="s">
        <v>60</v>
      </c>
    </row>
    <row r="34" spans="1:4">
      <c r="A34" s="12" t="s">
        <v>102</v>
      </c>
      <c r="B34" t="s">
        <v>202</v>
      </c>
      <c r="C34">
        <v>1</v>
      </c>
      <c r="D34">
        <v>16</v>
      </c>
    </row>
    <row r="35" spans="1:4">
      <c r="A35" s="12" t="s">
        <v>203</v>
      </c>
      <c r="B35" t="s">
        <v>204</v>
      </c>
      <c r="C35">
        <v>7</v>
      </c>
      <c r="D35">
        <v>16</v>
      </c>
    </row>
    <row r="36" spans="1:4">
      <c r="A36" s="12" t="s">
        <v>68</v>
      </c>
      <c r="B36" t="s">
        <v>205</v>
      </c>
      <c r="C36">
        <v>1</v>
      </c>
      <c r="D36">
        <v>4</v>
      </c>
    </row>
    <row r="37" spans="1:4">
      <c r="A37" s="12" t="s">
        <v>144</v>
      </c>
      <c r="B37" t="s">
        <v>206</v>
      </c>
      <c r="C37">
        <v>7</v>
      </c>
      <c r="D37">
        <v>4</v>
      </c>
    </row>
    <row r="39" spans="1:4">
      <c r="A39" t="s">
        <v>61</v>
      </c>
    </row>
    <row r="40" spans="1:4">
      <c r="A40" s="12" t="s">
        <v>49</v>
      </c>
      <c r="B40" t="s">
        <v>207</v>
      </c>
      <c r="C40">
        <v>13</v>
      </c>
      <c r="D40">
        <v>10</v>
      </c>
    </row>
    <row r="41" spans="1:4">
      <c r="A41" s="12" t="s">
        <v>208</v>
      </c>
      <c r="B41" t="s">
        <v>209</v>
      </c>
      <c r="C41">
        <v>19</v>
      </c>
      <c r="D41">
        <v>7</v>
      </c>
    </row>
    <row r="42" spans="1:4">
      <c r="A42" s="12" t="s">
        <v>143</v>
      </c>
      <c r="B42" t="s">
        <v>210</v>
      </c>
      <c r="C42">
        <v>13</v>
      </c>
      <c r="D42">
        <v>7</v>
      </c>
    </row>
    <row r="43" spans="1:4">
      <c r="A43" s="12" t="s">
        <v>69</v>
      </c>
      <c r="B43" t="s">
        <v>211</v>
      </c>
      <c r="C43">
        <v>19</v>
      </c>
      <c r="D43">
        <v>10</v>
      </c>
    </row>
    <row r="45" spans="1:4">
      <c r="A45" t="s">
        <v>62</v>
      </c>
    </row>
    <row r="46" spans="1:4">
      <c r="A46" s="12" t="s">
        <v>52</v>
      </c>
      <c r="B46" t="s">
        <v>212</v>
      </c>
      <c r="C46">
        <v>22</v>
      </c>
      <c r="D46">
        <v>13</v>
      </c>
    </row>
    <row r="47" spans="1:4">
      <c r="A47" s="12" t="s">
        <v>104</v>
      </c>
      <c r="B47" t="s">
        <v>213</v>
      </c>
      <c r="C47">
        <v>4</v>
      </c>
      <c r="D47">
        <v>19</v>
      </c>
    </row>
    <row r="48" spans="1:4">
      <c r="A48" s="12" t="s">
        <v>152</v>
      </c>
      <c r="B48" t="s">
        <v>214</v>
      </c>
      <c r="C48">
        <v>22</v>
      </c>
      <c r="D48">
        <v>19</v>
      </c>
    </row>
    <row r="49" spans="1:4">
      <c r="A49" s="12" t="s">
        <v>67</v>
      </c>
      <c r="B49" t="s">
        <v>215</v>
      </c>
      <c r="C49">
        <v>4</v>
      </c>
      <c r="D49">
        <v>13</v>
      </c>
    </row>
  </sheetData>
  <mergeCells count="28">
    <mergeCell ref="AM23:AN23"/>
    <mergeCell ref="A24:D24"/>
    <mergeCell ref="K24:N24"/>
    <mergeCell ref="U24:X24"/>
    <mergeCell ref="AE24:AH24"/>
    <mergeCell ref="A23:B23"/>
    <mergeCell ref="I23:J23"/>
    <mergeCell ref="K23:L23"/>
    <mergeCell ref="S23:T23"/>
    <mergeCell ref="U23:V23"/>
    <mergeCell ref="AC23:AD23"/>
    <mergeCell ref="A18:D18"/>
    <mergeCell ref="K18:N18"/>
    <mergeCell ref="U18:X18"/>
    <mergeCell ref="AE18:AH18"/>
    <mergeCell ref="AE23:AF23"/>
    <mergeCell ref="A12:J12"/>
    <mergeCell ref="K12:T12"/>
    <mergeCell ref="U12:AD12"/>
    <mergeCell ref="AE12:AN12"/>
    <mergeCell ref="A17:B17"/>
    <mergeCell ref="I17:J17"/>
    <mergeCell ref="K17:L17"/>
    <mergeCell ref="S17:T17"/>
    <mergeCell ref="U17:V17"/>
    <mergeCell ref="AC17:AD17"/>
    <mergeCell ref="AE17:AF17"/>
    <mergeCell ref="AM17:AN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351F-EA6A-4A46-89EE-B934151076D2}">
  <dimension ref="A2:AN49"/>
  <sheetViews>
    <sheetView topLeftCell="K6" workbookViewId="0">
      <selection activeCell="A20" sqref="A20:XFD22"/>
    </sheetView>
  </sheetViews>
  <sheetFormatPr defaultRowHeight="15"/>
  <cols>
    <col min="4" max="4" width="19.5703125" bestFit="1" customWidth="1"/>
    <col min="12" max="12" width="10.42578125" bestFit="1" customWidth="1"/>
    <col min="22" max="22" width="14.7109375" bestFit="1" customWidth="1"/>
    <col min="24" max="24" width="12.28515625" bestFit="1" customWidth="1"/>
    <col min="32" max="32" width="11.85546875" bestFit="1" customWidth="1"/>
  </cols>
  <sheetData>
    <row r="2" spans="1:40">
      <c r="A2" t="s">
        <v>148</v>
      </c>
      <c r="G2" t="s">
        <v>150</v>
      </c>
    </row>
    <row r="3" spans="1:40">
      <c r="A3" t="s">
        <v>151</v>
      </c>
      <c r="B3" s="79"/>
      <c r="C3" s="79"/>
      <c r="D3" s="79"/>
      <c r="E3" s="79"/>
      <c r="F3" s="79"/>
      <c r="G3" s="79">
        <v>123</v>
      </c>
      <c r="H3" s="79"/>
      <c r="I3" s="79"/>
      <c r="J3" s="79"/>
    </row>
    <row r="4" spans="1:40">
      <c r="B4" s="79"/>
      <c r="C4" s="79"/>
      <c r="D4" s="79"/>
      <c r="E4" s="79"/>
      <c r="F4" s="79"/>
      <c r="G4">
        <v>456</v>
      </c>
    </row>
    <row r="5" spans="1:40">
      <c r="B5" s="79"/>
      <c r="C5" s="79"/>
      <c r="D5" s="79"/>
      <c r="E5" s="79"/>
      <c r="F5" s="79"/>
      <c r="G5">
        <v>789</v>
      </c>
    </row>
    <row r="6" spans="1:40">
      <c r="B6" s="79"/>
      <c r="C6" s="79"/>
      <c r="D6" s="79"/>
      <c r="E6" s="79"/>
      <c r="F6" s="79"/>
      <c r="G6">
        <v>101112</v>
      </c>
    </row>
    <row r="7" spans="1:40">
      <c r="B7" s="79"/>
      <c r="C7" s="79"/>
      <c r="D7" s="79"/>
      <c r="E7" s="79"/>
      <c r="F7" s="79"/>
      <c r="G7">
        <v>131415</v>
      </c>
    </row>
    <row r="8" spans="1:40">
      <c r="B8" s="79"/>
      <c r="C8" s="79"/>
      <c r="D8" s="79"/>
      <c r="E8" s="79"/>
      <c r="F8" s="79"/>
      <c r="G8">
        <v>161718</v>
      </c>
    </row>
    <row r="9" spans="1:40">
      <c r="G9">
        <v>192021</v>
      </c>
    </row>
    <row r="10" spans="1:40">
      <c r="G10">
        <v>222324</v>
      </c>
    </row>
    <row r="11" spans="1:4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40">
      <c r="A12" s="166" t="s">
        <v>59</v>
      </c>
      <c r="B12" s="167"/>
      <c r="C12" s="167"/>
      <c r="D12" s="167"/>
      <c r="E12" s="167"/>
      <c r="F12" s="167"/>
      <c r="G12" s="167"/>
      <c r="H12" s="167"/>
      <c r="I12" s="167"/>
      <c r="J12" s="168"/>
      <c r="K12" s="166" t="s">
        <v>60</v>
      </c>
      <c r="L12" s="167"/>
      <c r="M12" s="167"/>
      <c r="N12" s="167"/>
      <c r="O12" s="167"/>
      <c r="P12" s="167"/>
      <c r="Q12" s="167"/>
      <c r="R12" s="167"/>
      <c r="S12" s="167"/>
      <c r="T12" s="168"/>
      <c r="U12" s="169" t="s">
        <v>61</v>
      </c>
      <c r="V12" s="170"/>
      <c r="W12" s="170"/>
      <c r="X12" s="170"/>
      <c r="Y12" s="170"/>
      <c r="Z12" s="170"/>
      <c r="AA12" s="170"/>
      <c r="AB12" s="170"/>
      <c r="AC12" s="170"/>
      <c r="AD12" s="171"/>
      <c r="AE12" s="169" t="s">
        <v>62</v>
      </c>
      <c r="AF12" s="170"/>
      <c r="AG12" s="170"/>
      <c r="AH12" s="170"/>
      <c r="AI12" s="170"/>
      <c r="AJ12" s="170"/>
      <c r="AK12" s="170"/>
      <c r="AL12" s="170"/>
      <c r="AM12" s="170"/>
      <c r="AN12" s="171"/>
    </row>
    <row r="13" spans="1:40">
      <c r="A13" s="80" t="s">
        <v>1</v>
      </c>
      <c r="B13" s="81" t="str">
        <f>A28</f>
        <v>Germany</v>
      </c>
      <c r="C13" s="81" t="s">
        <v>63</v>
      </c>
      <c r="D13" s="82" t="str">
        <f>A29</f>
        <v>Spain</v>
      </c>
      <c r="E13" s="82" t="s">
        <v>63</v>
      </c>
      <c r="F13" s="82" t="s">
        <v>64</v>
      </c>
      <c r="G13" s="83" t="s">
        <v>65</v>
      </c>
      <c r="H13" s="83" t="s">
        <v>65</v>
      </c>
      <c r="I13" s="83" t="s">
        <v>66</v>
      </c>
      <c r="J13" s="84" t="s">
        <v>66</v>
      </c>
      <c r="K13" s="80" t="s">
        <v>1</v>
      </c>
      <c r="L13" s="81" t="str">
        <f>A35</f>
        <v>Scotland Saltire</v>
      </c>
      <c r="M13" s="81" t="s">
        <v>63</v>
      </c>
      <c r="N13" s="82" t="str">
        <f>A36</f>
        <v>Barbarians</v>
      </c>
      <c r="O13" s="82" t="s">
        <v>63</v>
      </c>
      <c r="P13" s="82" t="s">
        <v>64</v>
      </c>
      <c r="Q13" s="83" t="s">
        <v>65</v>
      </c>
      <c r="R13" s="83" t="s">
        <v>65</v>
      </c>
      <c r="S13" s="83" t="s">
        <v>66</v>
      </c>
      <c r="T13" s="84" t="s">
        <v>66</v>
      </c>
      <c r="U13" s="85" t="s">
        <v>1</v>
      </c>
      <c r="V13" s="86" t="str">
        <f>A40</f>
        <v>Poland</v>
      </c>
      <c r="W13" s="86" t="s">
        <v>63</v>
      </c>
      <c r="X13" s="87" t="str">
        <f>A41</f>
        <v>Denmark II</v>
      </c>
      <c r="Y13" s="87" t="s">
        <v>63</v>
      </c>
      <c r="Z13" s="82" t="s">
        <v>64</v>
      </c>
      <c r="AA13" s="88" t="s">
        <v>65</v>
      </c>
      <c r="AB13" s="88" t="s">
        <v>65</v>
      </c>
      <c r="AC13" s="88" t="s">
        <v>66</v>
      </c>
      <c r="AD13" s="89" t="s">
        <v>66</v>
      </c>
      <c r="AE13" s="85" t="s">
        <v>1</v>
      </c>
      <c r="AF13" s="86" t="str">
        <f>A46</f>
        <v>Netherlands</v>
      </c>
      <c r="AG13" s="86" t="s">
        <v>63</v>
      </c>
      <c r="AH13" s="87" t="str">
        <f>A47</f>
        <v>Pirates</v>
      </c>
      <c r="AI13" s="87" t="s">
        <v>63</v>
      </c>
      <c r="AJ13" s="82" t="s">
        <v>64</v>
      </c>
      <c r="AK13" s="88" t="s">
        <v>65</v>
      </c>
      <c r="AL13" s="88" t="s">
        <v>65</v>
      </c>
      <c r="AM13" s="88" t="s">
        <v>66</v>
      </c>
      <c r="AN13" s="90" t="s">
        <v>66</v>
      </c>
    </row>
    <row r="14" spans="1:40">
      <c r="A14" s="91">
        <v>4</v>
      </c>
      <c r="B14" s="92" t="s">
        <v>182</v>
      </c>
      <c r="C14" s="93" t="s">
        <v>83</v>
      </c>
      <c r="D14" s="94" t="s">
        <v>80</v>
      </c>
      <c r="E14" s="94" t="s">
        <v>120</v>
      </c>
      <c r="F14" s="94"/>
      <c r="G14" s="94">
        <v>3</v>
      </c>
      <c r="H14" s="94">
        <v>0</v>
      </c>
      <c r="I14" s="94">
        <v>1</v>
      </c>
      <c r="J14" s="95">
        <v>0</v>
      </c>
      <c r="K14" s="91">
        <v>19</v>
      </c>
      <c r="L14" s="93" t="s">
        <v>127</v>
      </c>
      <c r="M14" s="93" t="s">
        <v>79</v>
      </c>
      <c r="N14" s="94" t="s">
        <v>170</v>
      </c>
      <c r="O14" s="94" t="s">
        <v>79</v>
      </c>
      <c r="P14" s="94"/>
      <c r="Q14" s="94">
        <v>3</v>
      </c>
      <c r="R14" s="94">
        <v>0</v>
      </c>
      <c r="S14" s="94">
        <v>1</v>
      </c>
      <c r="T14" s="95">
        <v>0</v>
      </c>
      <c r="U14" s="91">
        <v>16</v>
      </c>
      <c r="V14" s="93" t="s">
        <v>70</v>
      </c>
      <c r="W14" s="93" t="s">
        <v>71</v>
      </c>
      <c r="X14" s="94" t="s">
        <v>241</v>
      </c>
      <c r="Y14" s="94" t="s">
        <v>71</v>
      </c>
      <c r="Z14" s="94"/>
      <c r="AA14" s="94">
        <v>1</v>
      </c>
      <c r="AB14" s="94">
        <v>1</v>
      </c>
      <c r="AC14" s="94">
        <v>0</v>
      </c>
      <c r="AD14" s="95">
        <v>0</v>
      </c>
      <c r="AE14" s="91">
        <v>22</v>
      </c>
      <c r="AF14" s="93" t="s">
        <v>72</v>
      </c>
      <c r="AG14" s="93" t="s">
        <v>71</v>
      </c>
      <c r="AH14" s="94" t="s">
        <v>194</v>
      </c>
      <c r="AI14" s="94" t="s">
        <v>95</v>
      </c>
      <c r="AJ14" s="94"/>
      <c r="AK14" s="94">
        <v>0</v>
      </c>
      <c r="AL14" s="94">
        <v>3</v>
      </c>
      <c r="AM14" s="94">
        <v>0</v>
      </c>
      <c r="AN14" s="96">
        <v>1</v>
      </c>
    </row>
    <row r="15" spans="1:40">
      <c r="A15" s="97">
        <v>5</v>
      </c>
      <c r="B15" s="98" t="s">
        <v>77</v>
      </c>
      <c r="C15" s="98" t="s">
        <v>16</v>
      </c>
      <c r="D15" s="99" t="s">
        <v>99</v>
      </c>
      <c r="E15" s="99" t="s">
        <v>73</v>
      </c>
      <c r="F15" s="99"/>
      <c r="G15" s="99">
        <v>0</v>
      </c>
      <c r="H15" s="99">
        <v>3</v>
      </c>
      <c r="I15" s="99">
        <v>0</v>
      </c>
      <c r="J15" s="100">
        <v>1</v>
      </c>
      <c r="K15" s="97">
        <v>20</v>
      </c>
      <c r="L15" s="98" t="s">
        <v>118</v>
      </c>
      <c r="M15" s="98" t="s">
        <v>16</v>
      </c>
      <c r="N15" s="99" t="s">
        <v>23</v>
      </c>
      <c r="O15" s="99" t="s">
        <v>71</v>
      </c>
      <c r="P15" s="99"/>
      <c r="Q15" s="99">
        <v>3</v>
      </c>
      <c r="R15" s="99">
        <v>0</v>
      </c>
      <c r="S15" s="99">
        <v>1</v>
      </c>
      <c r="T15" s="100">
        <v>0</v>
      </c>
      <c r="U15" s="97">
        <v>17</v>
      </c>
      <c r="V15" s="98" t="s">
        <v>92</v>
      </c>
      <c r="W15" s="98" t="s">
        <v>73</v>
      </c>
      <c r="X15" s="99" t="s">
        <v>196</v>
      </c>
      <c r="Y15" s="99" t="s">
        <v>79</v>
      </c>
      <c r="Z15" s="99"/>
      <c r="AA15" s="99">
        <v>3</v>
      </c>
      <c r="AB15" s="99">
        <v>0</v>
      </c>
      <c r="AC15" s="99">
        <v>0</v>
      </c>
      <c r="AD15" s="100">
        <v>1</v>
      </c>
      <c r="AE15" s="97">
        <v>23</v>
      </c>
      <c r="AF15" s="98" t="s">
        <v>84</v>
      </c>
      <c r="AG15" s="98" t="s">
        <v>83</v>
      </c>
      <c r="AH15" s="99" t="s">
        <v>75</v>
      </c>
      <c r="AI15" s="99" t="s">
        <v>73</v>
      </c>
      <c r="AJ15" s="99"/>
      <c r="AK15" s="99">
        <v>1</v>
      </c>
      <c r="AL15" s="99">
        <v>1</v>
      </c>
      <c r="AM15" s="99">
        <v>0</v>
      </c>
      <c r="AN15" s="101">
        <v>1</v>
      </c>
    </row>
    <row r="16" spans="1:40">
      <c r="A16" s="102">
        <v>6</v>
      </c>
      <c r="B16" s="98" t="s">
        <v>224</v>
      </c>
      <c r="C16" s="98" t="s">
        <v>73</v>
      </c>
      <c r="D16" s="99" t="s">
        <v>90</v>
      </c>
      <c r="E16" s="99" t="s">
        <v>16</v>
      </c>
      <c r="F16" s="99"/>
      <c r="G16" s="99">
        <v>0</v>
      </c>
      <c r="H16" s="99">
        <v>3</v>
      </c>
      <c r="I16" s="99">
        <v>1</v>
      </c>
      <c r="J16" s="100">
        <v>0</v>
      </c>
      <c r="K16" s="102">
        <v>21</v>
      </c>
      <c r="L16" s="98" t="s">
        <v>242</v>
      </c>
      <c r="M16" s="98" t="s">
        <v>83</v>
      </c>
      <c r="N16" s="99" t="s">
        <v>173</v>
      </c>
      <c r="O16" s="99" t="s">
        <v>16</v>
      </c>
      <c r="P16" s="99"/>
      <c r="Q16" s="99">
        <v>1</v>
      </c>
      <c r="R16" s="99">
        <v>1</v>
      </c>
      <c r="S16" s="99">
        <v>1</v>
      </c>
      <c r="T16" s="100">
        <v>0</v>
      </c>
      <c r="U16" s="102">
        <v>18</v>
      </c>
      <c r="V16" s="98" t="s">
        <v>243</v>
      </c>
      <c r="W16" s="98" t="s">
        <v>83</v>
      </c>
      <c r="X16" s="99" t="s">
        <v>94</v>
      </c>
      <c r="Y16" s="99" t="s">
        <v>95</v>
      </c>
      <c r="Z16" s="99"/>
      <c r="AA16" s="99">
        <v>1</v>
      </c>
      <c r="AB16" s="99">
        <v>1</v>
      </c>
      <c r="AC16" s="99">
        <v>0</v>
      </c>
      <c r="AD16" s="100">
        <v>0</v>
      </c>
      <c r="AE16" s="103">
        <v>24</v>
      </c>
      <c r="AF16" s="104" t="s">
        <v>93</v>
      </c>
      <c r="AG16" s="104" t="s">
        <v>16</v>
      </c>
      <c r="AH16" s="99" t="s">
        <v>130</v>
      </c>
      <c r="AI16" s="99" t="s">
        <v>71</v>
      </c>
      <c r="AJ16" s="99"/>
      <c r="AK16" s="99">
        <v>3</v>
      </c>
      <c r="AL16" s="99">
        <v>0</v>
      </c>
      <c r="AM16" s="99">
        <v>0</v>
      </c>
      <c r="AN16" s="101">
        <v>0</v>
      </c>
    </row>
    <row r="17" spans="1:40">
      <c r="A17" s="172" t="s">
        <v>101</v>
      </c>
      <c r="B17" s="173"/>
      <c r="C17" s="105"/>
      <c r="D17" s="99"/>
      <c r="E17" s="99"/>
      <c r="F17" s="99"/>
      <c r="G17" s="99"/>
      <c r="H17" s="99">
        <v>1</v>
      </c>
      <c r="I17" s="174"/>
      <c r="J17" s="175"/>
      <c r="K17" s="172" t="s">
        <v>101</v>
      </c>
      <c r="L17" s="176"/>
      <c r="M17" s="106"/>
      <c r="N17" s="99"/>
      <c r="O17" s="99"/>
      <c r="P17" s="99"/>
      <c r="Q17" s="99">
        <v>1</v>
      </c>
      <c r="R17" s="99"/>
      <c r="S17" s="174"/>
      <c r="T17" s="175"/>
      <c r="U17" s="172" t="s">
        <v>101</v>
      </c>
      <c r="V17" s="176"/>
      <c r="W17" s="106"/>
      <c r="X17" s="99"/>
      <c r="Y17" s="99"/>
      <c r="Z17" s="99"/>
      <c r="AA17" s="99">
        <v>1</v>
      </c>
      <c r="AB17" s="99"/>
      <c r="AC17" s="174"/>
      <c r="AD17" s="177"/>
      <c r="AE17" s="178" t="s">
        <v>101</v>
      </c>
      <c r="AF17" s="179"/>
      <c r="AG17" s="108"/>
      <c r="AH17" s="98"/>
      <c r="AI17" s="98"/>
      <c r="AJ17" s="98"/>
      <c r="AK17" s="99"/>
      <c r="AL17" s="99"/>
      <c r="AM17" s="174"/>
      <c r="AN17" s="175"/>
    </row>
    <row r="18" spans="1:40">
      <c r="A18" s="180"/>
      <c r="B18" s="181"/>
      <c r="C18" s="181"/>
      <c r="D18" s="181"/>
      <c r="E18" s="109"/>
      <c r="F18" s="109"/>
      <c r="G18" s="110">
        <f>SUM(G14:G17)</f>
        <v>3</v>
      </c>
      <c r="H18" s="110">
        <f t="shared" ref="H18:I18" si="0">SUM(H14:H17)</f>
        <v>7</v>
      </c>
      <c r="I18" s="110">
        <f t="shared" si="0"/>
        <v>2</v>
      </c>
      <c r="J18" s="111">
        <f>SUM(J14:J17)</f>
        <v>1</v>
      </c>
      <c r="K18" s="182"/>
      <c r="L18" s="183"/>
      <c r="M18" s="183"/>
      <c r="N18" s="183"/>
      <c r="O18" s="110"/>
      <c r="P18" s="110"/>
      <c r="Q18" s="110">
        <f>SUM(Q14:Q17)</f>
        <v>8</v>
      </c>
      <c r="R18" s="110">
        <f t="shared" ref="R18:T18" si="1">SUM(R14:R17)</f>
        <v>1</v>
      </c>
      <c r="S18" s="110">
        <f t="shared" si="1"/>
        <v>3</v>
      </c>
      <c r="T18" s="112">
        <f t="shared" si="1"/>
        <v>0</v>
      </c>
      <c r="U18" s="184"/>
      <c r="V18" s="183"/>
      <c r="W18" s="183"/>
      <c r="X18" s="183"/>
      <c r="Y18" s="110"/>
      <c r="Z18" s="110"/>
      <c r="AA18" s="110">
        <f>SUM(AA14:AA17)</f>
        <v>6</v>
      </c>
      <c r="AB18" s="110">
        <f>SUM(AB14:AB17)</f>
        <v>2</v>
      </c>
      <c r="AC18" s="110">
        <f t="shared" ref="AC18:AE18" si="2">SUM(AC14:AC17)</f>
        <v>0</v>
      </c>
      <c r="AD18" s="112">
        <f t="shared" si="2"/>
        <v>1</v>
      </c>
      <c r="AE18" s="185"/>
      <c r="AF18" s="186"/>
      <c r="AG18" s="186"/>
      <c r="AH18" s="183"/>
      <c r="AI18" s="110"/>
      <c r="AJ18" s="110"/>
      <c r="AK18" s="114">
        <f>SUM(AK14:AK17)</f>
        <v>4</v>
      </c>
      <c r="AL18" s="114">
        <f t="shared" ref="AL18:AN18" si="3">SUM(AL14:AL17)</f>
        <v>4</v>
      </c>
      <c r="AM18" s="114">
        <f t="shared" si="3"/>
        <v>0</v>
      </c>
      <c r="AN18" s="116">
        <f t="shared" si="3"/>
        <v>2</v>
      </c>
    </row>
    <row r="19" spans="1:40">
      <c r="A19" s="113" t="s">
        <v>1</v>
      </c>
      <c r="B19" s="87" t="str">
        <f>A31</f>
        <v>Spain II</v>
      </c>
      <c r="C19" s="87" t="s">
        <v>63</v>
      </c>
      <c r="D19" s="87" t="str">
        <f>A30</f>
        <v>England</v>
      </c>
      <c r="E19" s="87" t="s">
        <v>63</v>
      </c>
      <c r="F19" s="82" t="s">
        <v>64</v>
      </c>
      <c r="G19" s="88" t="s">
        <v>65</v>
      </c>
      <c r="H19" s="88" t="s">
        <v>65</v>
      </c>
      <c r="I19" s="88" t="s">
        <v>66</v>
      </c>
      <c r="J19" s="89" t="s">
        <v>66</v>
      </c>
      <c r="K19" s="85" t="s">
        <v>1</v>
      </c>
      <c r="L19" s="86" t="str">
        <f>A34</f>
        <v>Mixed Nuts</v>
      </c>
      <c r="M19" s="86" t="s">
        <v>63</v>
      </c>
      <c r="N19" s="87" t="s">
        <v>144</v>
      </c>
      <c r="O19" s="87" t="s">
        <v>63</v>
      </c>
      <c r="P19" s="82" t="s">
        <v>64</v>
      </c>
      <c r="Q19" s="88" t="s">
        <v>65</v>
      </c>
      <c r="R19" s="88" t="s">
        <v>65</v>
      </c>
      <c r="S19" s="88" t="s">
        <v>66</v>
      </c>
      <c r="T19" s="89" t="s">
        <v>66</v>
      </c>
      <c r="U19" s="85" t="s">
        <v>1</v>
      </c>
      <c r="V19" s="86" t="str">
        <f>A43</f>
        <v>Australia</v>
      </c>
      <c r="W19" s="86" t="s">
        <v>63</v>
      </c>
      <c r="X19" s="87" t="str">
        <f>A42</f>
        <v>British Lions</v>
      </c>
      <c r="Y19" s="87" t="s">
        <v>63</v>
      </c>
      <c r="Z19" s="82" t="s">
        <v>64</v>
      </c>
      <c r="AA19" s="88" t="s">
        <v>65</v>
      </c>
      <c r="AB19" s="88" t="s">
        <v>65</v>
      </c>
      <c r="AC19" s="88" t="s">
        <v>66</v>
      </c>
      <c r="AD19" s="90" t="s">
        <v>66</v>
      </c>
      <c r="AE19" s="107" t="s">
        <v>1</v>
      </c>
      <c r="AF19" s="86" t="str">
        <f>A49</f>
        <v>N Ireland</v>
      </c>
      <c r="AG19" s="86" t="s">
        <v>63</v>
      </c>
      <c r="AH19" s="87" t="str">
        <f>A48</f>
        <v>Germany II</v>
      </c>
      <c r="AI19" s="87" t="s">
        <v>63</v>
      </c>
      <c r="AJ19" s="82" t="s">
        <v>64</v>
      </c>
      <c r="AK19" s="88" t="s">
        <v>65</v>
      </c>
      <c r="AL19" s="88" t="s">
        <v>65</v>
      </c>
      <c r="AM19" s="88" t="s">
        <v>66</v>
      </c>
      <c r="AN19" s="90" t="s">
        <v>66</v>
      </c>
    </row>
    <row r="20" spans="1:40">
      <c r="A20" s="91">
        <v>13</v>
      </c>
      <c r="B20" s="93" t="s">
        <v>110</v>
      </c>
      <c r="C20" s="93" t="s">
        <v>22</v>
      </c>
      <c r="D20" s="94" t="s">
        <v>100</v>
      </c>
      <c r="E20" s="94" t="s">
        <v>95</v>
      </c>
      <c r="F20" s="94"/>
      <c r="G20" s="94">
        <v>1</v>
      </c>
      <c r="H20" s="94">
        <v>1</v>
      </c>
      <c r="I20" s="94">
        <v>0</v>
      </c>
      <c r="J20" s="95">
        <v>0</v>
      </c>
      <c r="K20" s="91">
        <v>7</v>
      </c>
      <c r="L20" s="93" t="s">
        <v>172</v>
      </c>
      <c r="M20" s="93" t="s">
        <v>16</v>
      </c>
      <c r="N20" s="94" t="s">
        <v>244</v>
      </c>
      <c r="O20" s="94" t="s">
        <v>73</v>
      </c>
      <c r="P20" s="94"/>
      <c r="Q20" s="94">
        <v>3</v>
      </c>
      <c r="R20" s="94">
        <v>0</v>
      </c>
      <c r="S20" s="94">
        <v>0</v>
      </c>
      <c r="T20" s="95">
        <v>1</v>
      </c>
      <c r="U20" s="91">
        <v>1</v>
      </c>
      <c r="V20" s="93" t="s">
        <v>81</v>
      </c>
      <c r="W20" s="93" t="s">
        <v>73</v>
      </c>
      <c r="X20" s="94" t="s">
        <v>121</v>
      </c>
      <c r="Y20" s="94" t="s">
        <v>73</v>
      </c>
      <c r="Z20" s="94"/>
      <c r="AA20" s="94">
        <v>3</v>
      </c>
      <c r="AB20" s="94">
        <v>0</v>
      </c>
      <c r="AC20" s="94">
        <v>0</v>
      </c>
      <c r="AD20" s="95">
        <v>0</v>
      </c>
      <c r="AE20" s="91">
        <v>10</v>
      </c>
      <c r="AF20" s="93" t="s">
        <v>75</v>
      </c>
      <c r="AG20" s="93" t="s">
        <v>71</v>
      </c>
      <c r="AH20" s="94" t="s">
        <v>230</v>
      </c>
      <c r="AI20" s="94" t="s">
        <v>71</v>
      </c>
      <c r="AJ20" s="94"/>
      <c r="AK20" s="94">
        <v>0</v>
      </c>
      <c r="AL20" s="94">
        <v>3</v>
      </c>
      <c r="AM20" s="94">
        <v>1</v>
      </c>
      <c r="AN20" s="96">
        <v>0</v>
      </c>
    </row>
    <row r="21" spans="1:40">
      <c r="A21" s="97">
        <v>14</v>
      </c>
      <c r="B21" s="98" t="s">
        <v>245</v>
      </c>
      <c r="C21" s="98" t="s">
        <v>120</v>
      </c>
      <c r="D21" s="99" t="s">
        <v>180</v>
      </c>
      <c r="E21" s="99" t="s">
        <v>73</v>
      </c>
      <c r="F21" s="99"/>
      <c r="G21" s="99">
        <v>0</v>
      </c>
      <c r="H21" s="99">
        <v>3</v>
      </c>
      <c r="I21" s="99">
        <v>0</v>
      </c>
      <c r="J21" s="100">
        <v>1</v>
      </c>
      <c r="K21" s="97">
        <v>8</v>
      </c>
      <c r="L21" s="98" t="s">
        <v>162</v>
      </c>
      <c r="M21" s="98" t="s">
        <v>73</v>
      </c>
      <c r="N21" s="99" t="s">
        <v>171</v>
      </c>
      <c r="O21" s="99" t="s">
        <v>71</v>
      </c>
      <c r="P21" s="99"/>
      <c r="Q21" s="99">
        <v>3</v>
      </c>
      <c r="R21" s="99">
        <v>0</v>
      </c>
      <c r="S21" s="99">
        <v>0</v>
      </c>
      <c r="T21" s="100">
        <v>0</v>
      </c>
      <c r="U21" s="97">
        <v>2</v>
      </c>
      <c r="V21" s="98" t="s">
        <v>193</v>
      </c>
      <c r="W21" s="98" t="s">
        <v>83</v>
      </c>
      <c r="X21" s="99" t="s">
        <v>129</v>
      </c>
      <c r="Y21" s="99" t="s">
        <v>71</v>
      </c>
      <c r="Z21" s="99"/>
      <c r="AA21" s="99">
        <v>0</v>
      </c>
      <c r="AB21" s="99">
        <v>3</v>
      </c>
      <c r="AC21" s="99">
        <v>1</v>
      </c>
      <c r="AD21" s="100">
        <v>0</v>
      </c>
      <c r="AE21" s="97">
        <v>11</v>
      </c>
      <c r="AF21" s="98" t="s">
        <v>88</v>
      </c>
      <c r="AG21" s="98" t="s">
        <v>73</v>
      </c>
      <c r="AH21" s="99" t="s">
        <v>114</v>
      </c>
      <c r="AI21" s="99" t="s">
        <v>95</v>
      </c>
      <c r="AJ21" s="99"/>
      <c r="AK21" s="99">
        <v>0</v>
      </c>
      <c r="AL21" s="99">
        <v>3</v>
      </c>
      <c r="AM21" s="99">
        <v>0</v>
      </c>
      <c r="AN21" s="101">
        <v>1</v>
      </c>
    </row>
    <row r="22" spans="1:40">
      <c r="A22" s="102">
        <v>15</v>
      </c>
      <c r="B22" s="98" t="s">
        <v>128</v>
      </c>
      <c r="C22" s="98" t="s">
        <v>83</v>
      </c>
      <c r="D22" s="99" t="s">
        <v>116</v>
      </c>
      <c r="E22" s="99" t="s">
        <v>83</v>
      </c>
      <c r="F22" s="99"/>
      <c r="G22" s="99">
        <v>3</v>
      </c>
      <c r="H22" s="99">
        <v>0</v>
      </c>
      <c r="I22" s="99">
        <v>1</v>
      </c>
      <c r="J22" s="100">
        <v>0</v>
      </c>
      <c r="K22" s="102">
        <v>9</v>
      </c>
      <c r="L22" s="98" t="s">
        <v>117</v>
      </c>
      <c r="M22" s="98" t="s">
        <v>83</v>
      </c>
      <c r="N22" s="99" t="s">
        <v>115</v>
      </c>
      <c r="O22" s="99" t="s">
        <v>16</v>
      </c>
      <c r="P22" s="99"/>
      <c r="Q22" s="99">
        <v>3</v>
      </c>
      <c r="R22" s="99">
        <v>0</v>
      </c>
      <c r="S22" s="99">
        <v>0</v>
      </c>
      <c r="T22" s="100">
        <v>0</v>
      </c>
      <c r="U22" s="102">
        <v>3</v>
      </c>
      <c r="V22" s="98" t="s">
        <v>91</v>
      </c>
      <c r="W22" s="98" t="s">
        <v>16</v>
      </c>
      <c r="X22" s="99" t="s">
        <v>176</v>
      </c>
      <c r="Y22" s="99" t="s">
        <v>16</v>
      </c>
      <c r="Z22" s="99"/>
      <c r="AA22" s="99">
        <v>3</v>
      </c>
      <c r="AB22" s="99">
        <v>0</v>
      </c>
      <c r="AC22" s="99">
        <v>1</v>
      </c>
      <c r="AD22" s="100">
        <v>0</v>
      </c>
      <c r="AE22" s="103">
        <v>12</v>
      </c>
      <c r="AF22" s="104" t="s">
        <v>197</v>
      </c>
      <c r="AG22" s="104" t="s">
        <v>246</v>
      </c>
      <c r="AH22" s="99" t="s">
        <v>123</v>
      </c>
      <c r="AI22" s="99" t="s">
        <v>83</v>
      </c>
      <c r="AJ22" s="99"/>
      <c r="AK22" s="99">
        <v>0</v>
      </c>
      <c r="AL22" s="99">
        <v>3</v>
      </c>
      <c r="AM22" s="99">
        <v>0</v>
      </c>
      <c r="AN22" s="101">
        <v>1</v>
      </c>
    </row>
    <row r="23" spans="1:40">
      <c r="A23" s="172" t="s">
        <v>101</v>
      </c>
      <c r="B23" s="176"/>
      <c r="C23" s="106"/>
      <c r="D23" s="99"/>
      <c r="E23" s="99"/>
      <c r="F23" s="99"/>
      <c r="G23" s="99"/>
      <c r="H23" s="99"/>
      <c r="I23" s="174"/>
      <c r="J23" s="175"/>
      <c r="K23" s="172" t="s">
        <v>101</v>
      </c>
      <c r="L23" s="176"/>
      <c r="M23" s="106"/>
      <c r="N23" s="99"/>
      <c r="O23" s="99"/>
      <c r="P23" s="99"/>
      <c r="Q23" s="99">
        <v>1</v>
      </c>
      <c r="R23" s="99"/>
      <c r="S23" s="174"/>
      <c r="T23" s="175"/>
      <c r="U23" s="172" t="s">
        <v>101</v>
      </c>
      <c r="V23" s="176"/>
      <c r="W23" s="106"/>
      <c r="X23" s="99"/>
      <c r="Y23" s="99"/>
      <c r="Z23" s="99"/>
      <c r="AA23" s="99">
        <v>1</v>
      </c>
      <c r="AB23" s="99"/>
      <c r="AC23" s="174"/>
      <c r="AD23" s="177"/>
      <c r="AE23" s="178" t="s">
        <v>101</v>
      </c>
      <c r="AF23" s="179"/>
      <c r="AG23" s="108"/>
      <c r="AH23" s="98"/>
      <c r="AI23" s="98"/>
      <c r="AJ23" s="98"/>
      <c r="AK23" s="99"/>
      <c r="AL23" s="99">
        <v>1</v>
      </c>
      <c r="AM23" s="174"/>
      <c r="AN23" s="175"/>
    </row>
    <row r="24" spans="1:40">
      <c r="A24" s="187"/>
      <c r="B24" s="188"/>
      <c r="C24" s="188"/>
      <c r="D24" s="188"/>
      <c r="E24" s="114"/>
      <c r="F24" s="114"/>
      <c r="G24" s="114">
        <f>SUM(G20:G23)</f>
        <v>4</v>
      </c>
      <c r="H24" s="114">
        <f t="shared" ref="H24:J24" si="4">SUM(H20:H23)</f>
        <v>4</v>
      </c>
      <c r="I24" s="114">
        <f t="shared" si="4"/>
        <v>1</v>
      </c>
      <c r="J24" s="115">
        <f t="shared" si="4"/>
        <v>1</v>
      </c>
      <c r="K24" s="187"/>
      <c r="L24" s="188"/>
      <c r="M24" s="188"/>
      <c r="N24" s="188"/>
      <c r="O24" s="114"/>
      <c r="P24" s="114"/>
      <c r="Q24" s="114">
        <f>SUM(Q20:Q23)</f>
        <v>10</v>
      </c>
      <c r="R24" s="114">
        <f>SUM(R20:R23)</f>
        <v>0</v>
      </c>
      <c r="S24" s="114">
        <f>SUM(S20:S23)</f>
        <v>0</v>
      </c>
      <c r="T24" s="116">
        <f>SUM(T20:T23)</f>
        <v>1</v>
      </c>
      <c r="U24" s="189"/>
      <c r="V24" s="188"/>
      <c r="W24" s="188"/>
      <c r="X24" s="188"/>
      <c r="Y24" s="114"/>
      <c r="Z24" s="114"/>
      <c r="AA24" s="114">
        <f>SUM(AA20:AA23)</f>
        <v>7</v>
      </c>
      <c r="AB24" s="114">
        <f t="shared" ref="AB24:AD24" si="5">SUM(AB20:AB23)</f>
        <v>3</v>
      </c>
      <c r="AC24" s="114">
        <f t="shared" si="5"/>
        <v>2</v>
      </c>
      <c r="AD24" s="116">
        <f t="shared" si="5"/>
        <v>0</v>
      </c>
      <c r="AE24" s="190"/>
      <c r="AF24" s="191"/>
      <c r="AG24" s="191"/>
      <c r="AH24" s="188"/>
      <c r="AI24" s="114"/>
      <c r="AJ24" s="114"/>
      <c r="AK24" s="114">
        <f>SUM(AK20:AK23)</f>
        <v>0</v>
      </c>
      <c r="AL24" s="114">
        <f t="shared" ref="AL24:AN24" si="6">SUM(AL20:AL23)</f>
        <v>10</v>
      </c>
      <c r="AM24" s="114">
        <f t="shared" si="6"/>
        <v>1</v>
      </c>
      <c r="AN24" s="116">
        <f t="shared" si="6"/>
        <v>2</v>
      </c>
    </row>
    <row r="26" spans="1:40">
      <c r="A26" t="s">
        <v>133</v>
      </c>
      <c r="I26" t="s">
        <v>134</v>
      </c>
    </row>
    <row r="27" spans="1:40">
      <c r="A27" t="s">
        <v>59</v>
      </c>
      <c r="B27" t="s">
        <v>65</v>
      </c>
      <c r="D27" t="s">
        <v>66</v>
      </c>
      <c r="I27" t="s">
        <v>65</v>
      </c>
      <c r="J27" t="s">
        <v>66</v>
      </c>
    </row>
    <row r="28" spans="1:40">
      <c r="A28" s="12" t="s">
        <v>21</v>
      </c>
      <c r="B28" t="s">
        <v>198</v>
      </c>
      <c r="C28">
        <v>16</v>
      </c>
      <c r="D28">
        <v>1</v>
      </c>
      <c r="E28">
        <v>4</v>
      </c>
    </row>
    <row r="29" spans="1:40">
      <c r="A29" s="12" t="s">
        <v>141</v>
      </c>
      <c r="B29" t="s">
        <v>199</v>
      </c>
      <c r="C29">
        <v>10</v>
      </c>
      <c r="D29">
        <v>22</v>
      </c>
      <c r="E29">
        <v>4</v>
      </c>
    </row>
    <row r="30" spans="1:40">
      <c r="A30" s="12" t="s">
        <v>136</v>
      </c>
      <c r="B30" t="s">
        <v>200</v>
      </c>
      <c r="C30">
        <v>16</v>
      </c>
      <c r="D30">
        <v>22</v>
      </c>
      <c r="E30">
        <v>13</v>
      </c>
    </row>
    <row r="31" spans="1:40">
      <c r="A31" s="12" t="s">
        <v>103</v>
      </c>
      <c r="B31" t="s">
        <v>201</v>
      </c>
      <c r="C31">
        <v>10</v>
      </c>
      <c r="D31">
        <v>1</v>
      </c>
      <c r="E31">
        <v>13</v>
      </c>
    </row>
    <row r="33" spans="1:5">
      <c r="A33" t="s">
        <v>60</v>
      </c>
    </row>
    <row r="34" spans="1:5">
      <c r="A34" s="12" t="s">
        <v>102</v>
      </c>
      <c r="B34" t="s">
        <v>202</v>
      </c>
      <c r="C34">
        <v>1</v>
      </c>
      <c r="D34">
        <v>16</v>
      </c>
      <c r="E34">
        <v>7</v>
      </c>
    </row>
    <row r="35" spans="1:5">
      <c r="A35" s="12" t="s">
        <v>203</v>
      </c>
      <c r="B35" t="s">
        <v>204</v>
      </c>
      <c r="C35">
        <v>7</v>
      </c>
      <c r="D35">
        <v>16</v>
      </c>
      <c r="E35">
        <v>19</v>
      </c>
    </row>
    <row r="36" spans="1:5">
      <c r="A36" s="12" t="s">
        <v>68</v>
      </c>
      <c r="B36" t="s">
        <v>205</v>
      </c>
      <c r="C36">
        <v>1</v>
      </c>
      <c r="D36">
        <v>4</v>
      </c>
      <c r="E36">
        <v>19</v>
      </c>
    </row>
    <row r="37" spans="1:5">
      <c r="A37" s="12" t="s">
        <v>144</v>
      </c>
      <c r="B37" t="s">
        <v>206</v>
      </c>
      <c r="C37">
        <v>7</v>
      </c>
      <c r="D37">
        <v>4</v>
      </c>
      <c r="E37">
        <v>7</v>
      </c>
    </row>
    <row r="39" spans="1:5">
      <c r="A39" t="s">
        <v>61</v>
      </c>
    </row>
    <row r="40" spans="1:5">
      <c r="A40" s="12" t="s">
        <v>49</v>
      </c>
      <c r="B40" t="s">
        <v>207</v>
      </c>
      <c r="C40">
        <v>13</v>
      </c>
      <c r="D40">
        <v>10</v>
      </c>
      <c r="E40">
        <v>16</v>
      </c>
    </row>
    <row r="41" spans="1:5">
      <c r="A41" s="12" t="s">
        <v>208</v>
      </c>
      <c r="B41" t="s">
        <v>209</v>
      </c>
      <c r="C41">
        <v>19</v>
      </c>
      <c r="D41">
        <v>7</v>
      </c>
      <c r="E41">
        <v>16</v>
      </c>
    </row>
    <row r="42" spans="1:5">
      <c r="A42" s="12" t="s">
        <v>143</v>
      </c>
      <c r="B42" t="s">
        <v>210</v>
      </c>
      <c r="C42">
        <v>13</v>
      </c>
      <c r="D42">
        <v>7</v>
      </c>
      <c r="E42">
        <v>1</v>
      </c>
    </row>
    <row r="43" spans="1:5">
      <c r="A43" s="12" t="s">
        <v>69</v>
      </c>
      <c r="B43" t="s">
        <v>211</v>
      </c>
      <c r="C43">
        <v>19</v>
      </c>
      <c r="D43">
        <v>10</v>
      </c>
      <c r="E43">
        <v>1</v>
      </c>
    </row>
    <row r="45" spans="1:5">
      <c r="A45" t="s">
        <v>62</v>
      </c>
    </row>
    <row r="46" spans="1:5">
      <c r="A46" s="12" t="s">
        <v>52</v>
      </c>
      <c r="B46" t="s">
        <v>212</v>
      </c>
      <c r="C46">
        <v>22</v>
      </c>
      <c r="D46">
        <v>13</v>
      </c>
      <c r="E46">
        <v>22</v>
      </c>
    </row>
    <row r="47" spans="1:5">
      <c r="A47" s="12" t="s">
        <v>104</v>
      </c>
      <c r="B47" t="s">
        <v>213</v>
      </c>
      <c r="C47">
        <v>4</v>
      </c>
      <c r="D47">
        <v>19</v>
      </c>
      <c r="E47">
        <v>22</v>
      </c>
    </row>
    <row r="48" spans="1:5">
      <c r="A48" s="12" t="s">
        <v>152</v>
      </c>
      <c r="B48" t="s">
        <v>214</v>
      </c>
      <c r="C48">
        <v>22</v>
      </c>
      <c r="D48">
        <v>19</v>
      </c>
      <c r="E48">
        <v>10</v>
      </c>
    </row>
    <row r="49" spans="1:5">
      <c r="A49" s="12" t="s">
        <v>67</v>
      </c>
      <c r="B49" t="s">
        <v>215</v>
      </c>
      <c r="C49">
        <v>4</v>
      </c>
      <c r="D49">
        <v>13</v>
      </c>
      <c r="E49">
        <v>10</v>
      </c>
    </row>
  </sheetData>
  <mergeCells count="28">
    <mergeCell ref="AM23:AN23"/>
    <mergeCell ref="A24:D24"/>
    <mergeCell ref="K24:N24"/>
    <mergeCell ref="U24:X24"/>
    <mergeCell ref="AE24:AH24"/>
    <mergeCell ref="A23:B23"/>
    <mergeCell ref="I23:J23"/>
    <mergeCell ref="K23:L23"/>
    <mergeCell ref="S23:T23"/>
    <mergeCell ref="U23:V23"/>
    <mergeCell ref="AC23:AD23"/>
    <mergeCell ref="A18:D18"/>
    <mergeCell ref="K18:N18"/>
    <mergeCell ref="U18:X18"/>
    <mergeCell ref="AE18:AH18"/>
    <mergeCell ref="AE23:AF23"/>
    <mergeCell ref="A12:J12"/>
    <mergeCell ref="K12:T12"/>
    <mergeCell ref="U12:AD12"/>
    <mergeCell ref="AE12:AN12"/>
    <mergeCell ref="A17:B17"/>
    <mergeCell ref="I17:J17"/>
    <mergeCell ref="K17:L17"/>
    <mergeCell ref="S17:T17"/>
    <mergeCell ref="U17:V17"/>
    <mergeCell ref="AC17:AD17"/>
    <mergeCell ref="AE17:AF17"/>
    <mergeCell ref="AM17:AN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1"/>
  <sheetViews>
    <sheetView topLeftCell="C1" workbookViewId="0">
      <selection activeCell="J19" sqref="J19"/>
    </sheetView>
  </sheetViews>
  <sheetFormatPr defaultRowHeight="15"/>
  <cols>
    <col min="1" max="1" width="9.140625" style="6"/>
    <col min="2" max="2" width="27.42578125" style="6" bestFit="1" customWidth="1"/>
    <col min="3" max="3" width="31" style="6" customWidth="1"/>
    <col min="4" max="4" width="23.85546875" style="6" bestFit="1" customWidth="1"/>
    <col min="5" max="5" width="6" style="6" customWidth="1"/>
    <col min="6" max="6" width="21.85546875" style="6" bestFit="1" customWidth="1"/>
    <col min="7" max="7" width="5.28515625" style="6" customWidth="1"/>
    <col min="8" max="8" width="5.5703125" style="6" customWidth="1"/>
    <col min="9" max="9" width="19.5703125" style="6" bestFit="1" customWidth="1"/>
    <col min="10" max="10" width="13.42578125" style="6" bestFit="1" customWidth="1"/>
    <col min="11" max="11" width="36.28515625" style="6" customWidth="1"/>
    <col min="12" max="12" width="15.7109375" style="6" customWidth="1"/>
    <col min="13" max="13" width="11.28515625" style="6" bestFit="1" customWidth="1"/>
    <col min="14" max="14" width="23.42578125" style="6" bestFit="1" customWidth="1"/>
    <col min="15" max="15" width="18.140625" style="6" bestFit="1" customWidth="1"/>
    <col min="16" max="16" width="12.140625" style="6" bestFit="1" customWidth="1"/>
    <col min="17" max="17" width="14.85546875" style="6" bestFit="1" customWidth="1"/>
    <col min="18" max="18" width="13" style="6" bestFit="1" customWidth="1"/>
    <col min="19" max="19" width="11" style="6" customWidth="1"/>
    <col min="20" max="20" width="20.42578125" style="6" bestFit="1" customWidth="1"/>
    <col min="21" max="21" width="24.42578125" style="6" bestFit="1" customWidth="1"/>
    <col min="22" max="22" width="14.28515625" style="6" bestFit="1" customWidth="1"/>
    <col min="23" max="23" width="28.5703125" style="6" bestFit="1" customWidth="1"/>
    <col min="24" max="24" width="14.28515625" style="6" bestFit="1" customWidth="1"/>
    <col min="25" max="25" width="18.42578125" style="6" bestFit="1" customWidth="1"/>
    <col min="26" max="26" width="17.7109375" style="6" bestFit="1" customWidth="1"/>
    <col min="27" max="27" width="12" style="6" customWidth="1"/>
    <col min="28" max="260" width="9.140625" style="6"/>
    <col min="261" max="261" width="15.85546875" style="6" bestFit="1" customWidth="1"/>
    <col min="262" max="264" width="9.140625" style="6"/>
    <col min="265" max="265" width="16.5703125" style="6" bestFit="1" customWidth="1"/>
    <col min="266" max="266" width="9.140625" style="6"/>
    <col min="267" max="267" width="20.5703125" style="6" bestFit="1" customWidth="1"/>
    <col min="268" max="268" width="9.140625" style="6"/>
    <col min="269" max="269" width="14.5703125" style="6" bestFit="1" customWidth="1"/>
    <col min="270" max="270" width="9.140625" style="6"/>
    <col min="271" max="271" width="18.140625" style="6" bestFit="1" customWidth="1"/>
    <col min="272" max="276" width="9.140625" style="6"/>
    <col min="277" max="277" width="15.85546875" style="6" bestFit="1" customWidth="1"/>
    <col min="278" max="278" width="9.140625" style="6"/>
    <col min="279" max="279" width="21.140625" style="6" customWidth="1"/>
    <col min="280" max="280" width="9.140625" style="6"/>
    <col min="281" max="281" width="18.42578125" style="6" bestFit="1" customWidth="1"/>
    <col min="282" max="282" width="9.140625" style="6"/>
    <col min="283" max="283" width="12" style="6" customWidth="1"/>
    <col min="284" max="516" width="9.140625" style="6"/>
    <col min="517" max="517" width="15.85546875" style="6" bestFit="1" customWidth="1"/>
    <col min="518" max="520" width="9.140625" style="6"/>
    <col min="521" max="521" width="16.5703125" style="6" bestFit="1" customWidth="1"/>
    <col min="522" max="522" width="9.140625" style="6"/>
    <col min="523" max="523" width="20.5703125" style="6" bestFit="1" customWidth="1"/>
    <col min="524" max="524" width="9.140625" style="6"/>
    <col min="525" max="525" width="14.5703125" style="6" bestFit="1" customWidth="1"/>
    <col min="526" max="526" width="9.140625" style="6"/>
    <col min="527" max="527" width="18.140625" style="6" bestFit="1" customWidth="1"/>
    <col min="528" max="532" width="9.140625" style="6"/>
    <col min="533" max="533" width="15.85546875" style="6" bestFit="1" customWidth="1"/>
    <col min="534" max="534" width="9.140625" style="6"/>
    <col min="535" max="535" width="21.140625" style="6" customWidth="1"/>
    <col min="536" max="536" width="9.140625" style="6"/>
    <col min="537" max="537" width="18.42578125" style="6" bestFit="1" customWidth="1"/>
    <col min="538" max="538" width="9.140625" style="6"/>
    <col min="539" max="539" width="12" style="6" customWidth="1"/>
    <col min="540" max="772" width="9.140625" style="6"/>
    <col min="773" max="773" width="15.85546875" style="6" bestFit="1" customWidth="1"/>
    <col min="774" max="776" width="9.140625" style="6"/>
    <col min="777" max="777" width="16.5703125" style="6" bestFit="1" customWidth="1"/>
    <col min="778" max="778" width="9.140625" style="6"/>
    <col min="779" max="779" width="20.5703125" style="6" bestFit="1" customWidth="1"/>
    <col min="780" max="780" width="9.140625" style="6"/>
    <col min="781" max="781" width="14.5703125" style="6" bestFit="1" customWidth="1"/>
    <col min="782" max="782" width="9.140625" style="6"/>
    <col min="783" max="783" width="18.140625" style="6" bestFit="1" customWidth="1"/>
    <col min="784" max="788" width="9.140625" style="6"/>
    <col min="789" max="789" width="15.85546875" style="6" bestFit="1" customWidth="1"/>
    <col min="790" max="790" width="9.140625" style="6"/>
    <col min="791" max="791" width="21.140625" style="6" customWidth="1"/>
    <col min="792" max="792" width="9.140625" style="6"/>
    <col min="793" max="793" width="18.42578125" style="6" bestFit="1" customWidth="1"/>
    <col min="794" max="794" width="9.140625" style="6"/>
    <col min="795" max="795" width="12" style="6" customWidth="1"/>
    <col min="796" max="1028" width="9.140625" style="6"/>
    <col min="1029" max="1029" width="15.85546875" style="6" bestFit="1" customWidth="1"/>
    <col min="1030" max="1032" width="9.140625" style="6"/>
    <col min="1033" max="1033" width="16.5703125" style="6" bestFit="1" customWidth="1"/>
    <col min="1034" max="1034" width="9.140625" style="6"/>
    <col min="1035" max="1035" width="20.5703125" style="6" bestFit="1" customWidth="1"/>
    <col min="1036" max="1036" width="9.140625" style="6"/>
    <col min="1037" max="1037" width="14.5703125" style="6" bestFit="1" customWidth="1"/>
    <col min="1038" max="1038" width="9.140625" style="6"/>
    <col min="1039" max="1039" width="18.140625" style="6" bestFit="1" customWidth="1"/>
    <col min="1040" max="1044" width="9.140625" style="6"/>
    <col min="1045" max="1045" width="15.85546875" style="6" bestFit="1" customWidth="1"/>
    <col min="1046" max="1046" width="9.140625" style="6"/>
    <col min="1047" max="1047" width="21.140625" style="6" customWidth="1"/>
    <col min="1048" max="1048" width="9.140625" style="6"/>
    <col min="1049" max="1049" width="18.42578125" style="6" bestFit="1" customWidth="1"/>
    <col min="1050" max="1050" width="9.140625" style="6"/>
    <col min="1051" max="1051" width="12" style="6" customWidth="1"/>
    <col min="1052" max="1284" width="9.140625" style="6"/>
    <col min="1285" max="1285" width="15.85546875" style="6" bestFit="1" customWidth="1"/>
    <col min="1286" max="1288" width="9.140625" style="6"/>
    <col min="1289" max="1289" width="16.5703125" style="6" bestFit="1" customWidth="1"/>
    <col min="1290" max="1290" width="9.140625" style="6"/>
    <col min="1291" max="1291" width="20.5703125" style="6" bestFit="1" customWidth="1"/>
    <col min="1292" max="1292" width="9.140625" style="6"/>
    <col min="1293" max="1293" width="14.5703125" style="6" bestFit="1" customWidth="1"/>
    <col min="1294" max="1294" width="9.140625" style="6"/>
    <col min="1295" max="1295" width="18.140625" style="6" bestFit="1" customWidth="1"/>
    <col min="1296" max="1300" width="9.140625" style="6"/>
    <col min="1301" max="1301" width="15.85546875" style="6" bestFit="1" customWidth="1"/>
    <col min="1302" max="1302" width="9.140625" style="6"/>
    <col min="1303" max="1303" width="21.140625" style="6" customWidth="1"/>
    <col min="1304" max="1304" width="9.140625" style="6"/>
    <col min="1305" max="1305" width="18.42578125" style="6" bestFit="1" customWidth="1"/>
    <col min="1306" max="1306" width="9.140625" style="6"/>
    <col min="1307" max="1307" width="12" style="6" customWidth="1"/>
    <col min="1308" max="1540" width="9.140625" style="6"/>
    <col min="1541" max="1541" width="15.85546875" style="6" bestFit="1" customWidth="1"/>
    <col min="1542" max="1544" width="9.140625" style="6"/>
    <col min="1545" max="1545" width="16.5703125" style="6" bestFit="1" customWidth="1"/>
    <col min="1546" max="1546" width="9.140625" style="6"/>
    <col min="1547" max="1547" width="20.5703125" style="6" bestFit="1" customWidth="1"/>
    <col min="1548" max="1548" width="9.140625" style="6"/>
    <col min="1549" max="1549" width="14.5703125" style="6" bestFit="1" customWidth="1"/>
    <col min="1550" max="1550" width="9.140625" style="6"/>
    <col min="1551" max="1551" width="18.140625" style="6" bestFit="1" customWidth="1"/>
    <col min="1552" max="1556" width="9.140625" style="6"/>
    <col min="1557" max="1557" width="15.85546875" style="6" bestFit="1" customWidth="1"/>
    <col min="1558" max="1558" width="9.140625" style="6"/>
    <col min="1559" max="1559" width="21.140625" style="6" customWidth="1"/>
    <col min="1560" max="1560" width="9.140625" style="6"/>
    <col min="1561" max="1561" width="18.42578125" style="6" bestFit="1" customWidth="1"/>
    <col min="1562" max="1562" width="9.140625" style="6"/>
    <col min="1563" max="1563" width="12" style="6" customWidth="1"/>
    <col min="1564" max="1796" width="9.140625" style="6"/>
    <col min="1797" max="1797" width="15.85546875" style="6" bestFit="1" customWidth="1"/>
    <col min="1798" max="1800" width="9.140625" style="6"/>
    <col min="1801" max="1801" width="16.5703125" style="6" bestFit="1" customWidth="1"/>
    <col min="1802" max="1802" width="9.140625" style="6"/>
    <col min="1803" max="1803" width="20.5703125" style="6" bestFit="1" customWidth="1"/>
    <col min="1804" max="1804" width="9.140625" style="6"/>
    <col min="1805" max="1805" width="14.5703125" style="6" bestFit="1" customWidth="1"/>
    <col min="1806" max="1806" width="9.140625" style="6"/>
    <col min="1807" max="1807" width="18.140625" style="6" bestFit="1" customWidth="1"/>
    <col min="1808" max="1812" width="9.140625" style="6"/>
    <col min="1813" max="1813" width="15.85546875" style="6" bestFit="1" customWidth="1"/>
    <col min="1814" max="1814" width="9.140625" style="6"/>
    <col min="1815" max="1815" width="21.140625" style="6" customWidth="1"/>
    <col min="1816" max="1816" width="9.140625" style="6"/>
    <col min="1817" max="1817" width="18.42578125" style="6" bestFit="1" customWidth="1"/>
    <col min="1818" max="1818" width="9.140625" style="6"/>
    <col min="1819" max="1819" width="12" style="6" customWidth="1"/>
    <col min="1820" max="2052" width="9.140625" style="6"/>
    <col min="2053" max="2053" width="15.85546875" style="6" bestFit="1" customWidth="1"/>
    <col min="2054" max="2056" width="9.140625" style="6"/>
    <col min="2057" max="2057" width="16.5703125" style="6" bestFit="1" customWidth="1"/>
    <col min="2058" max="2058" width="9.140625" style="6"/>
    <col min="2059" max="2059" width="20.5703125" style="6" bestFit="1" customWidth="1"/>
    <col min="2060" max="2060" width="9.140625" style="6"/>
    <col min="2061" max="2061" width="14.5703125" style="6" bestFit="1" customWidth="1"/>
    <col min="2062" max="2062" width="9.140625" style="6"/>
    <col min="2063" max="2063" width="18.140625" style="6" bestFit="1" customWidth="1"/>
    <col min="2064" max="2068" width="9.140625" style="6"/>
    <col min="2069" max="2069" width="15.85546875" style="6" bestFit="1" customWidth="1"/>
    <col min="2070" max="2070" width="9.140625" style="6"/>
    <col min="2071" max="2071" width="21.140625" style="6" customWidth="1"/>
    <col min="2072" max="2072" width="9.140625" style="6"/>
    <col min="2073" max="2073" width="18.42578125" style="6" bestFit="1" customWidth="1"/>
    <col min="2074" max="2074" width="9.140625" style="6"/>
    <col min="2075" max="2075" width="12" style="6" customWidth="1"/>
    <col min="2076" max="2308" width="9.140625" style="6"/>
    <col min="2309" max="2309" width="15.85546875" style="6" bestFit="1" customWidth="1"/>
    <col min="2310" max="2312" width="9.140625" style="6"/>
    <col min="2313" max="2313" width="16.5703125" style="6" bestFit="1" customWidth="1"/>
    <col min="2314" max="2314" width="9.140625" style="6"/>
    <col min="2315" max="2315" width="20.5703125" style="6" bestFit="1" customWidth="1"/>
    <col min="2316" max="2316" width="9.140625" style="6"/>
    <col min="2317" max="2317" width="14.5703125" style="6" bestFit="1" customWidth="1"/>
    <col min="2318" max="2318" width="9.140625" style="6"/>
    <col min="2319" max="2319" width="18.140625" style="6" bestFit="1" customWidth="1"/>
    <col min="2320" max="2324" width="9.140625" style="6"/>
    <col min="2325" max="2325" width="15.85546875" style="6" bestFit="1" customWidth="1"/>
    <col min="2326" max="2326" width="9.140625" style="6"/>
    <col min="2327" max="2327" width="21.140625" style="6" customWidth="1"/>
    <col min="2328" max="2328" width="9.140625" style="6"/>
    <col min="2329" max="2329" width="18.42578125" style="6" bestFit="1" customWidth="1"/>
    <col min="2330" max="2330" width="9.140625" style="6"/>
    <col min="2331" max="2331" width="12" style="6" customWidth="1"/>
    <col min="2332" max="2564" width="9.140625" style="6"/>
    <col min="2565" max="2565" width="15.85546875" style="6" bestFit="1" customWidth="1"/>
    <col min="2566" max="2568" width="9.140625" style="6"/>
    <col min="2569" max="2569" width="16.5703125" style="6" bestFit="1" customWidth="1"/>
    <col min="2570" max="2570" width="9.140625" style="6"/>
    <col min="2571" max="2571" width="20.5703125" style="6" bestFit="1" customWidth="1"/>
    <col min="2572" max="2572" width="9.140625" style="6"/>
    <col min="2573" max="2573" width="14.5703125" style="6" bestFit="1" customWidth="1"/>
    <col min="2574" max="2574" width="9.140625" style="6"/>
    <col min="2575" max="2575" width="18.140625" style="6" bestFit="1" customWidth="1"/>
    <col min="2576" max="2580" width="9.140625" style="6"/>
    <col min="2581" max="2581" width="15.85546875" style="6" bestFit="1" customWidth="1"/>
    <col min="2582" max="2582" width="9.140625" style="6"/>
    <col min="2583" max="2583" width="21.140625" style="6" customWidth="1"/>
    <col min="2584" max="2584" width="9.140625" style="6"/>
    <col min="2585" max="2585" width="18.42578125" style="6" bestFit="1" customWidth="1"/>
    <col min="2586" max="2586" width="9.140625" style="6"/>
    <col min="2587" max="2587" width="12" style="6" customWidth="1"/>
    <col min="2588" max="2820" width="9.140625" style="6"/>
    <col min="2821" max="2821" width="15.85546875" style="6" bestFit="1" customWidth="1"/>
    <col min="2822" max="2824" width="9.140625" style="6"/>
    <col min="2825" max="2825" width="16.5703125" style="6" bestFit="1" customWidth="1"/>
    <col min="2826" max="2826" width="9.140625" style="6"/>
    <col min="2827" max="2827" width="20.5703125" style="6" bestFit="1" customWidth="1"/>
    <col min="2828" max="2828" width="9.140625" style="6"/>
    <col min="2829" max="2829" width="14.5703125" style="6" bestFit="1" customWidth="1"/>
    <col min="2830" max="2830" width="9.140625" style="6"/>
    <col min="2831" max="2831" width="18.140625" style="6" bestFit="1" customWidth="1"/>
    <col min="2832" max="2836" width="9.140625" style="6"/>
    <col min="2837" max="2837" width="15.85546875" style="6" bestFit="1" customWidth="1"/>
    <col min="2838" max="2838" width="9.140625" style="6"/>
    <col min="2839" max="2839" width="21.140625" style="6" customWidth="1"/>
    <col min="2840" max="2840" width="9.140625" style="6"/>
    <col min="2841" max="2841" width="18.42578125" style="6" bestFit="1" customWidth="1"/>
    <col min="2842" max="2842" width="9.140625" style="6"/>
    <col min="2843" max="2843" width="12" style="6" customWidth="1"/>
    <col min="2844" max="3076" width="9.140625" style="6"/>
    <col min="3077" max="3077" width="15.85546875" style="6" bestFit="1" customWidth="1"/>
    <col min="3078" max="3080" width="9.140625" style="6"/>
    <col min="3081" max="3081" width="16.5703125" style="6" bestFit="1" customWidth="1"/>
    <col min="3082" max="3082" width="9.140625" style="6"/>
    <col min="3083" max="3083" width="20.5703125" style="6" bestFit="1" customWidth="1"/>
    <col min="3084" max="3084" width="9.140625" style="6"/>
    <col min="3085" max="3085" width="14.5703125" style="6" bestFit="1" customWidth="1"/>
    <col min="3086" max="3086" width="9.140625" style="6"/>
    <col min="3087" max="3087" width="18.140625" style="6" bestFit="1" customWidth="1"/>
    <col min="3088" max="3092" width="9.140625" style="6"/>
    <col min="3093" max="3093" width="15.85546875" style="6" bestFit="1" customWidth="1"/>
    <col min="3094" max="3094" width="9.140625" style="6"/>
    <col min="3095" max="3095" width="21.140625" style="6" customWidth="1"/>
    <col min="3096" max="3096" width="9.140625" style="6"/>
    <col min="3097" max="3097" width="18.42578125" style="6" bestFit="1" customWidth="1"/>
    <col min="3098" max="3098" width="9.140625" style="6"/>
    <col min="3099" max="3099" width="12" style="6" customWidth="1"/>
    <col min="3100" max="3332" width="9.140625" style="6"/>
    <col min="3333" max="3333" width="15.85546875" style="6" bestFit="1" customWidth="1"/>
    <col min="3334" max="3336" width="9.140625" style="6"/>
    <col min="3337" max="3337" width="16.5703125" style="6" bestFit="1" customWidth="1"/>
    <col min="3338" max="3338" width="9.140625" style="6"/>
    <col min="3339" max="3339" width="20.5703125" style="6" bestFit="1" customWidth="1"/>
    <col min="3340" max="3340" width="9.140625" style="6"/>
    <col min="3341" max="3341" width="14.5703125" style="6" bestFit="1" customWidth="1"/>
    <col min="3342" max="3342" width="9.140625" style="6"/>
    <col min="3343" max="3343" width="18.140625" style="6" bestFit="1" customWidth="1"/>
    <col min="3344" max="3348" width="9.140625" style="6"/>
    <col min="3349" max="3349" width="15.85546875" style="6" bestFit="1" customWidth="1"/>
    <col min="3350" max="3350" width="9.140625" style="6"/>
    <col min="3351" max="3351" width="21.140625" style="6" customWidth="1"/>
    <col min="3352" max="3352" width="9.140625" style="6"/>
    <col min="3353" max="3353" width="18.42578125" style="6" bestFit="1" customWidth="1"/>
    <col min="3354" max="3354" width="9.140625" style="6"/>
    <col min="3355" max="3355" width="12" style="6" customWidth="1"/>
    <col min="3356" max="3588" width="9.140625" style="6"/>
    <col min="3589" max="3589" width="15.85546875" style="6" bestFit="1" customWidth="1"/>
    <col min="3590" max="3592" width="9.140625" style="6"/>
    <col min="3593" max="3593" width="16.5703125" style="6" bestFit="1" customWidth="1"/>
    <col min="3594" max="3594" width="9.140625" style="6"/>
    <col min="3595" max="3595" width="20.5703125" style="6" bestFit="1" customWidth="1"/>
    <col min="3596" max="3596" width="9.140625" style="6"/>
    <col min="3597" max="3597" width="14.5703125" style="6" bestFit="1" customWidth="1"/>
    <col min="3598" max="3598" width="9.140625" style="6"/>
    <col min="3599" max="3599" width="18.140625" style="6" bestFit="1" customWidth="1"/>
    <col min="3600" max="3604" width="9.140625" style="6"/>
    <col min="3605" max="3605" width="15.85546875" style="6" bestFit="1" customWidth="1"/>
    <col min="3606" max="3606" width="9.140625" style="6"/>
    <col min="3607" max="3607" width="21.140625" style="6" customWidth="1"/>
    <col min="3608" max="3608" width="9.140625" style="6"/>
    <col min="3609" max="3609" width="18.42578125" style="6" bestFit="1" customWidth="1"/>
    <col min="3610" max="3610" width="9.140625" style="6"/>
    <col min="3611" max="3611" width="12" style="6" customWidth="1"/>
    <col min="3612" max="3844" width="9.140625" style="6"/>
    <col min="3845" max="3845" width="15.85546875" style="6" bestFit="1" customWidth="1"/>
    <col min="3846" max="3848" width="9.140625" style="6"/>
    <col min="3849" max="3849" width="16.5703125" style="6" bestFit="1" customWidth="1"/>
    <col min="3850" max="3850" width="9.140625" style="6"/>
    <col min="3851" max="3851" width="20.5703125" style="6" bestFit="1" customWidth="1"/>
    <col min="3852" max="3852" width="9.140625" style="6"/>
    <col min="3853" max="3853" width="14.5703125" style="6" bestFit="1" customWidth="1"/>
    <col min="3854" max="3854" width="9.140625" style="6"/>
    <col min="3855" max="3855" width="18.140625" style="6" bestFit="1" customWidth="1"/>
    <col min="3856" max="3860" width="9.140625" style="6"/>
    <col min="3861" max="3861" width="15.85546875" style="6" bestFit="1" customWidth="1"/>
    <col min="3862" max="3862" width="9.140625" style="6"/>
    <col min="3863" max="3863" width="21.140625" style="6" customWidth="1"/>
    <col min="3864" max="3864" width="9.140625" style="6"/>
    <col min="3865" max="3865" width="18.42578125" style="6" bestFit="1" customWidth="1"/>
    <col min="3866" max="3866" width="9.140625" style="6"/>
    <col min="3867" max="3867" width="12" style="6" customWidth="1"/>
    <col min="3868" max="4100" width="9.140625" style="6"/>
    <col min="4101" max="4101" width="15.85546875" style="6" bestFit="1" customWidth="1"/>
    <col min="4102" max="4104" width="9.140625" style="6"/>
    <col min="4105" max="4105" width="16.5703125" style="6" bestFit="1" customWidth="1"/>
    <col min="4106" max="4106" width="9.140625" style="6"/>
    <col min="4107" max="4107" width="20.5703125" style="6" bestFit="1" customWidth="1"/>
    <col min="4108" max="4108" width="9.140625" style="6"/>
    <col min="4109" max="4109" width="14.5703125" style="6" bestFit="1" customWidth="1"/>
    <col min="4110" max="4110" width="9.140625" style="6"/>
    <col min="4111" max="4111" width="18.140625" style="6" bestFit="1" customWidth="1"/>
    <col min="4112" max="4116" width="9.140625" style="6"/>
    <col min="4117" max="4117" width="15.85546875" style="6" bestFit="1" customWidth="1"/>
    <col min="4118" max="4118" width="9.140625" style="6"/>
    <col min="4119" max="4119" width="21.140625" style="6" customWidth="1"/>
    <col min="4120" max="4120" width="9.140625" style="6"/>
    <col min="4121" max="4121" width="18.42578125" style="6" bestFit="1" customWidth="1"/>
    <col min="4122" max="4122" width="9.140625" style="6"/>
    <col min="4123" max="4123" width="12" style="6" customWidth="1"/>
    <col min="4124" max="4356" width="9.140625" style="6"/>
    <col min="4357" max="4357" width="15.85546875" style="6" bestFit="1" customWidth="1"/>
    <col min="4358" max="4360" width="9.140625" style="6"/>
    <col min="4361" max="4361" width="16.5703125" style="6" bestFit="1" customWidth="1"/>
    <col min="4362" max="4362" width="9.140625" style="6"/>
    <col min="4363" max="4363" width="20.5703125" style="6" bestFit="1" customWidth="1"/>
    <col min="4364" max="4364" width="9.140625" style="6"/>
    <col min="4365" max="4365" width="14.5703125" style="6" bestFit="1" customWidth="1"/>
    <col min="4366" max="4366" width="9.140625" style="6"/>
    <col min="4367" max="4367" width="18.140625" style="6" bestFit="1" customWidth="1"/>
    <col min="4368" max="4372" width="9.140625" style="6"/>
    <col min="4373" max="4373" width="15.85546875" style="6" bestFit="1" customWidth="1"/>
    <col min="4374" max="4374" width="9.140625" style="6"/>
    <col min="4375" max="4375" width="21.140625" style="6" customWidth="1"/>
    <col min="4376" max="4376" width="9.140625" style="6"/>
    <col min="4377" max="4377" width="18.42578125" style="6" bestFit="1" customWidth="1"/>
    <col min="4378" max="4378" width="9.140625" style="6"/>
    <col min="4379" max="4379" width="12" style="6" customWidth="1"/>
    <col min="4380" max="4612" width="9.140625" style="6"/>
    <col min="4613" max="4613" width="15.85546875" style="6" bestFit="1" customWidth="1"/>
    <col min="4614" max="4616" width="9.140625" style="6"/>
    <col min="4617" max="4617" width="16.5703125" style="6" bestFit="1" customWidth="1"/>
    <col min="4618" max="4618" width="9.140625" style="6"/>
    <col min="4619" max="4619" width="20.5703125" style="6" bestFit="1" customWidth="1"/>
    <col min="4620" max="4620" width="9.140625" style="6"/>
    <col min="4621" max="4621" width="14.5703125" style="6" bestFit="1" customWidth="1"/>
    <col min="4622" max="4622" width="9.140625" style="6"/>
    <col min="4623" max="4623" width="18.140625" style="6" bestFit="1" customWidth="1"/>
    <col min="4624" max="4628" width="9.140625" style="6"/>
    <col min="4629" max="4629" width="15.85546875" style="6" bestFit="1" customWidth="1"/>
    <col min="4630" max="4630" width="9.140625" style="6"/>
    <col min="4631" max="4631" width="21.140625" style="6" customWidth="1"/>
    <col min="4632" max="4632" width="9.140625" style="6"/>
    <col min="4633" max="4633" width="18.42578125" style="6" bestFit="1" customWidth="1"/>
    <col min="4634" max="4634" width="9.140625" style="6"/>
    <col min="4635" max="4635" width="12" style="6" customWidth="1"/>
    <col min="4636" max="4868" width="9.140625" style="6"/>
    <col min="4869" max="4869" width="15.85546875" style="6" bestFit="1" customWidth="1"/>
    <col min="4870" max="4872" width="9.140625" style="6"/>
    <col min="4873" max="4873" width="16.5703125" style="6" bestFit="1" customWidth="1"/>
    <col min="4874" max="4874" width="9.140625" style="6"/>
    <col min="4875" max="4875" width="20.5703125" style="6" bestFit="1" customWidth="1"/>
    <col min="4876" max="4876" width="9.140625" style="6"/>
    <col min="4877" max="4877" width="14.5703125" style="6" bestFit="1" customWidth="1"/>
    <col min="4878" max="4878" width="9.140625" style="6"/>
    <col min="4879" max="4879" width="18.140625" style="6" bestFit="1" customWidth="1"/>
    <col min="4880" max="4884" width="9.140625" style="6"/>
    <col min="4885" max="4885" width="15.85546875" style="6" bestFit="1" customWidth="1"/>
    <col min="4886" max="4886" width="9.140625" style="6"/>
    <col min="4887" max="4887" width="21.140625" style="6" customWidth="1"/>
    <col min="4888" max="4888" width="9.140625" style="6"/>
    <col min="4889" max="4889" width="18.42578125" style="6" bestFit="1" customWidth="1"/>
    <col min="4890" max="4890" width="9.140625" style="6"/>
    <col min="4891" max="4891" width="12" style="6" customWidth="1"/>
    <col min="4892" max="5124" width="9.140625" style="6"/>
    <col min="5125" max="5125" width="15.85546875" style="6" bestFit="1" customWidth="1"/>
    <col min="5126" max="5128" width="9.140625" style="6"/>
    <col min="5129" max="5129" width="16.5703125" style="6" bestFit="1" customWidth="1"/>
    <col min="5130" max="5130" width="9.140625" style="6"/>
    <col min="5131" max="5131" width="20.5703125" style="6" bestFit="1" customWidth="1"/>
    <col min="5132" max="5132" width="9.140625" style="6"/>
    <col min="5133" max="5133" width="14.5703125" style="6" bestFit="1" customWidth="1"/>
    <col min="5134" max="5134" width="9.140625" style="6"/>
    <col min="5135" max="5135" width="18.140625" style="6" bestFit="1" customWidth="1"/>
    <col min="5136" max="5140" width="9.140625" style="6"/>
    <col min="5141" max="5141" width="15.85546875" style="6" bestFit="1" customWidth="1"/>
    <col min="5142" max="5142" width="9.140625" style="6"/>
    <col min="5143" max="5143" width="21.140625" style="6" customWidth="1"/>
    <col min="5144" max="5144" width="9.140625" style="6"/>
    <col min="5145" max="5145" width="18.42578125" style="6" bestFit="1" customWidth="1"/>
    <col min="5146" max="5146" width="9.140625" style="6"/>
    <col min="5147" max="5147" width="12" style="6" customWidth="1"/>
    <col min="5148" max="5380" width="9.140625" style="6"/>
    <col min="5381" max="5381" width="15.85546875" style="6" bestFit="1" customWidth="1"/>
    <col min="5382" max="5384" width="9.140625" style="6"/>
    <col min="5385" max="5385" width="16.5703125" style="6" bestFit="1" customWidth="1"/>
    <col min="5386" max="5386" width="9.140625" style="6"/>
    <col min="5387" max="5387" width="20.5703125" style="6" bestFit="1" customWidth="1"/>
    <col min="5388" max="5388" width="9.140625" style="6"/>
    <col min="5389" max="5389" width="14.5703125" style="6" bestFit="1" customWidth="1"/>
    <col min="5390" max="5390" width="9.140625" style="6"/>
    <col min="5391" max="5391" width="18.140625" style="6" bestFit="1" customWidth="1"/>
    <col min="5392" max="5396" width="9.140625" style="6"/>
    <col min="5397" max="5397" width="15.85546875" style="6" bestFit="1" customWidth="1"/>
    <col min="5398" max="5398" width="9.140625" style="6"/>
    <col min="5399" max="5399" width="21.140625" style="6" customWidth="1"/>
    <col min="5400" max="5400" width="9.140625" style="6"/>
    <col min="5401" max="5401" width="18.42578125" style="6" bestFit="1" customWidth="1"/>
    <col min="5402" max="5402" width="9.140625" style="6"/>
    <col min="5403" max="5403" width="12" style="6" customWidth="1"/>
    <col min="5404" max="5636" width="9.140625" style="6"/>
    <col min="5637" max="5637" width="15.85546875" style="6" bestFit="1" customWidth="1"/>
    <col min="5638" max="5640" width="9.140625" style="6"/>
    <col min="5641" max="5641" width="16.5703125" style="6" bestFit="1" customWidth="1"/>
    <col min="5642" max="5642" width="9.140625" style="6"/>
    <col min="5643" max="5643" width="20.5703125" style="6" bestFit="1" customWidth="1"/>
    <col min="5644" max="5644" width="9.140625" style="6"/>
    <col min="5645" max="5645" width="14.5703125" style="6" bestFit="1" customWidth="1"/>
    <col min="5646" max="5646" width="9.140625" style="6"/>
    <col min="5647" max="5647" width="18.140625" style="6" bestFit="1" customWidth="1"/>
    <col min="5648" max="5652" width="9.140625" style="6"/>
    <col min="5653" max="5653" width="15.85546875" style="6" bestFit="1" customWidth="1"/>
    <col min="5654" max="5654" width="9.140625" style="6"/>
    <col min="5655" max="5655" width="21.140625" style="6" customWidth="1"/>
    <col min="5656" max="5656" width="9.140625" style="6"/>
    <col min="5657" max="5657" width="18.42578125" style="6" bestFit="1" customWidth="1"/>
    <col min="5658" max="5658" width="9.140625" style="6"/>
    <col min="5659" max="5659" width="12" style="6" customWidth="1"/>
    <col min="5660" max="5892" width="9.140625" style="6"/>
    <col min="5893" max="5893" width="15.85546875" style="6" bestFit="1" customWidth="1"/>
    <col min="5894" max="5896" width="9.140625" style="6"/>
    <col min="5897" max="5897" width="16.5703125" style="6" bestFit="1" customWidth="1"/>
    <col min="5898" max="5898" width="9.140625" style="6"/>
    <col min="5899" max="5899" width="20.5703125" style="6" bestFit="1" customWidth="1"/>
    <col min="5900" max="5900" width="9.140625" style="6"/>
    <col min="5901" max="5901" width="14.5703125" style="6" bestFit="1" customWidth="1"/>
    <col min="5902" max="5902" width="9.140625" style="6"/>
    <col min="5903" max="5903" width="18.140625" style="6" bestFit="1" customWidth="1"/>
    <col min="5904" max="5908" width="9.140625" style="6"/>
    <col min="5909" max="5909" width="15.85546875" style="6" bestFit="1" customWidth="1"/>
    <col min="5910" max="5910" width="9.140625" style="6"/>
    <col min="5911" max="5911" width="21.140625" style="6" customWidth="1"/>
    <col min="5912" max="5912" width="9.140625" style="6"/>
    <col min="5913" max="5913" width="18.42578125" style="6" bestFit="1" customWidth="1"/>
    <col min="5914" max="5914" width="9.140625" style="6"/>
    <col min="5915" max="5915" width="12" style="6" customWidth="1"/>
    <col min="5916" max="6148" width="9.140625" style="6"/>
    <col min="6149" max="6149" width="15.85546875" style="6" bestFit="1" customWidth="1"/>
    <col min="6150" max="6152" width="9.140625" style="6"/>
    <col min="6153" max="6153" width="16.5703125" style="6" bestFit="1" customWidth="1"/>
    <col min="6154" max="6154" width="9.140625" style="6"/>
    <col min="6155" max="6155" width="20.5703125" style="6" bestFit="1" customWidth="1"/>
    <col min="6156" max="6156" width="9.140625" style="6"/>
    <col min="6157" max="6157" width="14.5703125" style="6" bestFit="1" customWidth="1"/>
    <col min="6158" max="6158" width="9.140625" style="6"/>
    <col min="6159" max="6159" width="18.140625" style="6" bestFit="1" customWidth="1"/>
    <col min="6160" max="6164" width="9.140625" style="6"/>
    <col min="6165" max="6165" width="15.85546875" style="6" bestFit="1" customWidth="1"/>
    <col min="6166" max="6166" width="9.140625" style="6"/>
    <col min="6167" max="6167" width="21.140625" style="6" customWidth="1"/>
    <col min="6168" max="6168" width="9.140625" style="6"/>
    <col min="6169" max="6169" width="18.42578125" style="6" bestFit="1" customWidth="1"/>
    <col min="6170" max="6170" width="9.140625" style="6"/>
    <col min="6171" max="6171" width="12" style="6" customWidth="1"/>
    <col min="6172" max="6404" width="9.140625" style="6"/>
    <col min="6405" max="6405" width="15.85546875" style="6" bestFit="1" customWidth="1"/>
    <col min="6406" max="6408" width="9.140625" style="6"/>
    <col min="6409" max="6409" width="16.5703125" style="6" bestFit="1" customWidth="1"/>
    <col min="6410" max="6410" width="9.140625" style="6"/>
    <col min="6411" max="6411" width="20.5703125" style="6" bestFit="1" customWidth="1"/>
    <col min="6412" max="6412" width="9.140625" style="6"/>
    <col min="6413" max="6413" width="14.5703125" style="6" bestFit="1" customWidth="1"/>
    <col min="6414" max="6414" width="9.140625" style="6"/>
    <col min="6415" max="6415" width="18.140625" style="6" bestFit="1" customWidth="1"/>
    <col min="6416" max="6420" width="9.140625" style="6"/>
    <col min="6421" max="6421" width="15.85546875" style="6" bestFit="1" customWidth="1"/>
    <col min="6422" max="6422" width="9.140625" style="6"/>
    <col min="6423" max="6423" width="21.140625" style="6" customWidth="1"/>
    <col min="6424" max="6424" width="9.140625" style="6"/>
    <col min="6425" max="6425" width="18.42578125" style="6" bestFit="1" customWidth="1"/>
    <col min="6426" max="6426" width="9.140625" style="6"/>
    <col min="6427" max="6427" width="12" style="6" customWidth="1"/>
    <col min="6428" max="6660" width="9.140625" style="6"/>
    <col min="6661" max="6661" width="15.85546875" style="6" bestFit="1" customWidth="1"/>
    <col min="6662" max="6664" width="9.140625" style="6"/>
    <col min="6665" max="6665" width="16.5703125" style="6" bestFit="1" customWidth="1"/>
    <col min="6666" max="6666" width="9.140625" style="6"/>
    <col min="6667" max="6667" width="20.5703125" style="6" bestFit="1" customWidth="1"/>
    <col min="6668" max="6668" width="9.140625" style="6"/>
    <col min="6669" max="6669" width="14.5703125" style="6" bestFit="1" customWidth="1"/>
    <col min="6670" max="6670" width="9.140625" style="6"/>
    <col min="6671" max="6671" width="18.140625" style="6" bestFit="1" customWidth="1"/>
    <col min="6672" max="6676" width="9.140625" style="6"/>
    <col min="6677" max="6677" width="15.85546875" style="6" bestFit="1" customWidth="1"/>
    <col min="6678" max="6678" width="9.140625" style="6"/>
    <col min="6679" max="6679" width="21.140625" style="6" customWidth="1"/>
    <col min="6680" max="6680" width="9.140625" style="6"/>
    <col min="6681" max="6681" width="18.42578125" style="6" bestFit="1" customWidth="1"/>
    <col min="6682" max="6682" width="9.140625" style="6"/>
    <col min="6683" max="6683" width="12" style="6" customWidth="1"/>
    <col min="6684" max="6916" width="9.140625" style="6"/>
    <col min="6917" max="6917" width="15.85546875" style="6" bestFit="1" customWidth="1"/>
    <col min="6918" max="6920" width="9.140625" style="6"/>
    <col min="6921" max="6921" width="16.5703125" style="6" bestFit="1" customWidth="1"/>
    <col min="6922" max="6922" width="9.140625" style="6"/>
    <col min="6923" max="6923" width="20.5703125" style="6" bestFit="1" customWidth="1"/>
    <col min="6924" max="6924" width="9.140625" style="6"/>
    <col min="6925" max="6925" width="14.5703125" style="6" bestFit="1" customWidth="1"/>
    <col min="6926" max="6926" width="9.140625" style="6"/>
    <col min="6927" max="6927" width="18.140625" style="6" bestFit="1" customWidth="1"/>
    <col min="6928" max="6932" width="9.140625" style="6"/>
    <col min="6933" max="6933" width="15.85546875" style="6" bestFit="1" customWidth="1"/>
    <col min="6934" max="6934" width="9.140625" style="6"/>
    <col min="6935" max="6935" width="21.140625" style="6" customWidth="1"/>
    <col min="6936" max="6936" width="9.140625" style="6"/>
    <col min="6937" max="6937" width="18.42578125" style="6" bestFit="1" customWidth="1"/>
    <col min="6938" max="6938" width="9.140625" style="6"/>
    <col min="6939" max="6939" width="12" style="6" customWidth="1"/>
    <col min="6940" max="7172" width="9.140625" style="6"/>
    <col min="7173" max="7173" width="15.85546875" style="6" bestFit="1" customWidth="1"/>
    <col min="7174" max="7176" width="9.140625" style="6"/>
    <col min="7177" max="7177" width="16.5703125" style="6" bestFit="1" customWidth="1"/>
    <col min="7178" max="7178" width="9.140625" style="6"/>
    <col min="7179" max="7179" width="20.5703125" style="6" bestFit="1" customWidth="1"/>
    <col min="7180" max="7180" width="9.140625" style="6"/>
    <col min="7181" max="7181" width="14.5703125" style="6" bestFit="1" customWidth="1"/>
    <col min="7182" max="7182" width="9.140625" style="6"/>
    <col min="7183" max="7183" width="18.140625" style="6" bestFit="1" customWidth="1"/>
    <col min="7184" max="7188" width="9.140625" style="6"/>
    <col min="7189" max="7189" width="15.85546875" style="6" bestFit="1" customWidth="1"/>
    <col min="7190" max="7190" width="9.140625" style="6"/>
    <col min="7191" max="7191" width="21.140625" style="6" customWidth="1"/>
    <col min="7192" max="7192" width="9.140625" style="6"/>
    <col min="7193" max="7193" width="18.42578125" style="6" bestFit="1" customWidth="1"/>
    <col min="7194" max="7194" width="9.140625" style="6"/>
    <col min="7195" max="7195" width="12" style="6" customWidth="1"/>
    <col min="7196" max="7428" width="9.140625" style="6"/>
    <col min="7429" max="7429" width="15.85546875" style="6" bestFit="1" customWidth="1"/>
    <col min="7430" max="7432" width="9.140625" style="6"/>
    <col min="7433" max="7433" width="16.5703125" style="6" bestFit="1" customWidth="1"/>
    <col min="7434" max="7434" width="9.140625" style="6"/>
    <col min="7435" max="7435" width="20.5703125" style="6" bestFit="1" customWidth="1"/>
    <col min="7436" max="7436" width="9.140625" style="6"/>
    <col min="7437" max="7437" width="14.5703125" style="6" bestFit="1" customWidth="1"/>
    <col min="7438" max="7438" width="9.140625" style="6"/>
    <col min="7439" max="7439" width="18.140625" style="6" bestFit="1" customWidth="1"/>
    <col min="7440" max="7444" width="9.140625" style="6"/>
    <col min="7445" max="7445" width="15.85546875" style="6" bestFit="1" customWidth="1"/>
    <col min="7446" max="7446" width="9.140625" style="6"/>
    <col min="7447" max="7447" width="21.140625" style="6" customWidth="1"/>
    <col min="7448" max="7448" width="9.140625" style="6"/>
    <col min="7449" max="7449" width="18.42578125" style="6" bestFit="1" customWidth="1"/>
    <col min="7450" max="7450" width="9.140625" style="6"/>
    <col min="7451" max="7451" width="12" style="6" customWidth="1"/>
    <col min="7452" max="7684" width="9.140625" style="6"/>
    <col min="7685" max="7685" width="15.85546875" style="6" bestFit="1" customWidth="1"/>
    <col min="7686" max="7688" width="9.140625" style="6"/>
    <col min="7689" max="7689" width="16.5703125" style="6" bestFit="1" customWidth="1"/>
    <col min="7690" max="7690" width="9.140625" style="6"/>
    <col min="7691" max="7691" width="20.5703125" style="6" bestFit="1" customWidth="1"/>
    <col min="7692" max="7692" width="9.140625" style="6"/>
    <col min="7693" max="7693" width="14.5703125" style="6" bestFit="1" customWidth="1"/>
    <col min="7694" max="7694" width="9.140625" style="6"/>
    <col min="7695" max="7695" width="18.140625" style="6" bestFit="1" customWidth="1"/>
    <col min="7696" max="7700" width="9.140625" style="6"/>
    <col min="7701" max="7701" width="15.85546875" style="6" bestFit="1" customWidth="1"/>
    <col min="7702" max="7702" width="9.140625" style="6"/>
    <col min="7703" max="7703" width="21.140625" style="6" customWidth="1"/>
    <col min="7704" max="7704" width="9.140625" style="6"/>
    <col min="7705" max="7705" width="18.42578125" style="6" bestFit="1" customWidth="1"/>
    <col min="7706" max="7706" width="9.140625" style="6"/>
    <col min="7707" max="7707" width="12" style="6" customWidth="1"/>
    <col min="7708" max="7940" width="9.140625" style="6"/>
    <col min="7941" max="7941" width="15.85546875" style="6" bestFit="1" customWidth="1"/>
    <col min="7942" max="7944" width="9.140625" style="6"/>
    <col min="7945" max="7945" width="16.5703125" style="6" bestFit="1" customWidth="1"/>
    <col min="7946" max="7946" width="9.140625" style="6"/>
    <col min="7947" max="7947" width="20.5703125" style="6" bestFit="1" customWidth="1"/>
    <col min="7948" max="7948" width="9.140625" style="6"/>
    <col min="7949" max="7949" width="14.5703125" style="6" bestFit="1" customWidth="1"/>
    <col min="7950" max="7950" width="9.140625" style="6"/>
    <col min="7951" max="7951" width="18.140625" style="6" bestFit="1" customWidth="1"/>
    <col min="7952" max="7956" width="9.140625" style="6"/>
    <col min="7957" max="7957" width="15.85546875" style="6" bestFit="1" customWidth="1"/>
    <col min="7958" max="7958" width="9.140625" style="6"/>
    <col min="7959" max="7959" width="21.140625" style="6" customWidth="1"/>
    <col min="7960" max="7960" width="9.140625" style="6"/>
    <col min="7961" max="7961" width="18.42578125" style="6" bestFit="1" customWidth="1"/>
    <col min="7962" max="7962" width="9.140625" style="6"/>
    <col min="7963" max="7963" width="12" style="6" customWidth="1"/>
    <col min="7964" max="8196" width="9.140625" style="6"/>
    <col min="8197" max="8197" width="15.85546875" style="6" bestFit="1" customWidth="1"/>
    <col min="8198" max="8200" width="9.140625" style="6"/>
    <col min="8201" max="8201" width="16.5703125" style="6" bestFit="1" customWidth="1"/>
    <col min="8202" max="8202" width="9.140625" style="6"/>
    <col min="8203" max="8203" width="20.5703125" style="6" bestFit="1" customWidth="1"/>
    <col min="8204" max="8204" width="9.140625" style="6"/>
    <col min="8205" max="8205" width="14.5703125" style="6" bestFit="1" customWidth="1"/>
    <col min="8206" max="8206" width="9.140625" style="6"/>
    <col min="8207" max="8207" width="18.140625" style="6" bestFit="1" customWidth="1"/>
    <col min="8208" max="8212" width="9.140625" style="6"/>
    <col min="8213" max="8213" width="15.85546875" style="6" bestFit="1" customWidth="1"/>
    <col min="8214" max="8214" width="9.140625" style="6"/>
    <col min="8215" max="8215" width="21.140625" style="6" customWidth="1"/>
    <col min="8216" max="8216" width="9.140625" style="6"/>
    <col min="8217" max="8217" width="18.42578125" style="6" bestFit="1" customWidth="1"/>
    <col min="8218" max="8218" width="9.140625" style="6"/>
    <col min="8219" max="8219" width="12" style="6" customWidth="1"/>
    <col min="8220" max="8452" width="9.140625" style="6"/>
    <col min="8453" max="8453" width="15.85546875" style="6" bestFit="1" customWidth="1"/>
    <col min="8454" max="8456" width="9.140625" style="6"/>
    <col min="8457" max="8457" width="16.5703125" style="6" bestFit="1" customWidth="1"/>
    <col min="8458" max="8458" width="9.140625" style="6"/>
    <col min="8459" max="8459" width="20.5703125" style="6" bestFit="1" customWidth="1"/>
    <col min="8460" max="8460" width="9.140625" style="6"/>
    <col min="8461" max="8461" width="14.5703125" style="6" bestFit="1" customWidth="1"/>
    <col min="8462" max="8462" width="9.140625" style="6"/>
    <col min="8463" max="8463" width="18.140625" style="6" bestFit="1" customWidth="1"/>
    <col min="8464" max="8468" width="9.140625" style="6"/>
    <col min="8469" max="8469" width="15.85546875" style="6" bestFit="1" customWidth="1"/>
    <col min="8470" max="8470" width="9.140625" style="6"/>
    <col min="8471" max="8471" width="21.140625" style="6" customWidth="1"/>
    <col min="8472" max="8472" width="9.140625" style="6"/>
    <col min="8473" max="8473" width="18.42578125" style="6" bestFit="1" customWidth="1"/>
    <col min="8474" max="8474" width="9.140625" style="6"/>
    <col min="8475" max="8475" width="12" style="6" customWidth="1"/>
    <col min="8476" max="8708" width="9.140625" style="6"/>
    <col min="8709" max="8709" width="15.85546875" style="6" bestFit="1" customWidth="1"/>
    <col min="8710" max="8712" width="9.140625" style="6"/>
    <col min="8713" max="8713" width="16.5703125" style="6" bestFit="1" customWidth="1"/>
    <col min="8714" max="8714" width="9.140625" style="6"/>
    <col min="8715" max="8715" width="20.5703125" style="6" bestFit="1" customWidth="1"/>
    <col min="8716" max="8716" width="9.140625" style="6"/>
    <col min="8717" max="8717" width="14.5703125" style="6" bestFit="1" customWidth="1"/>
    <col min="8718" max="8718" width="9.140625" style="6"/>
    <col min="8719" max="8719" width="18.140625" style="6" bestFit="1" customWidth="1"/>
    <col min="8720" max="8724" width="9.140625" style="6"/>
    <col min="8725" max="8725" width="15.85546875" style="6" bestFit="1" customWidth="1"/>
    <col min="8726" max="8726" width="9.140625" style="6"/>
    <col min="8727" max="8727" width="21.140625" style="6" customWidth="1"/>
    <col min="8728" max="8728" width="9.140625" style="6"/>
    <col min="8729" max="8729" width="18.42578125" style="6" bestFit="1" customWidth="1"/>
    <col min="8730" max="8730" width="9.140625" style="6"/>
    <col min="8731" max="8731" width="12" style="6" customWidth="1"/>
    <col min="8732" max="8964" width="9.140625" style="6"/>
    <col min="8965" max="8965" width="15.85546875" style="6" bestFit="1" customWidth="1"/>
    <col min="8966" max="8968" width="9.140625" style="6"/>
    <col min="8969" max="8969" width="16.5703125" style="6" bestFit="1" customWidth="1"/>
    <col min="8970" max="8970" width="9.140625" style="6"/>
    <col min="8971" max="8971" width="20.5703125" style="6" bestFit="1" customWidth="1"/>
    <col min="8972" max="8972" width="9.140625" style="6"/>
    <col min="8973" max="8973" width="14.5703125" style="6" bestFit="1" customWidth="1"/>
    <col min="8974" max="8974" width="9.140625" style="6"/>
    <col min="8975" max="8975" width="18.140625" style="6" bestFit="1" customWidth="1"/>
    <col min="8976" max="8980" width="9.140625" style="6"/>
    <col min="8981" max="8981" width="15.85546875" style="6" bestFit="1" customWidth="1"/>
    <col min="8982" max="8982" width="9.140625" style="6"/>
    <col min="8983" max="8983" width="21.140625" style="6" customWidth="1"/>
    <col min="8984" max="8984" width="9.140625" style="6"/>
    <col min="8985" max="8985" width="18.42578125" style="6" bestFit="1" customWidth="1"/>
    <col min="8986" max="8986" width="9.140625" style="6"/>
    <col min="8987" max="8987" width="12" style="6" customWidth="1"/>
    <col min="8988" max="9220" width="9.140625" style="6"/>
    <col min="9221" max="9221" width="15.85546875" style="6" bestFit="1" customWidth="1"/>
    <col min="9222" max="9224" width="9.140625" style="6"/>
    <col min="9225" max="9225" width="16.5703125" style="6" bestFit="1" customWidth="1"/>
    <col min="9226" max="9226" width="9.140625" style="6"/>
    <col min="9227" max="9227" width="20.5703125" style="6" bestFit="1" customWidth="1"/>
    <col min="9228" max="9228" width="9.140625" style="6"/>
    <col min="9229" max="9229" width="14.5703125" style="6" bestFit="1" customWidth="1"/>
    <col min="9230" max="9230" width="9.140625" style="6"/>
    <col min="9231" max="9231" width="18.140625" style="6" bestFit="1" customWidth="1"/>
    <col min="9232" max="9236" width="9.140625" style="6"/>
    <col min="9237" max="9237" width="15.85546875" style="6" bestFit="1" customWidth="1"/>
    <col min="9238" max="9238" width="9.140625" style="6"/>
    <col min="9239" max="9239" width="21.140625" style="6" customWidth="1"/>
    <col min="9240" max="9240" width="9.140625" style="6"/>
    <col min="9241" max="9241" width="18.42578125" style="6" bestFit="1" customWidth="1"/>
    <col min="9242" max="9242" width="9.140625" style="6"/>
    <col min="9243" max="9243" width="12" style="6" customWidth="1"/>
    <col min="9244" max="9476" width="9.140625" style="6"/>
    <col min="9477" max="9477" width="15.85546875" style="6" bestFit="1" customWidth="1"/>
    <col min="9478" max="9480" width="9.140625" style="6"/>
    <col min="9481" max="9481" width="16.5703125" style="6" bestFit="1" customWidth="1"/>
    <col min="9482" max="9482" width="9.140625" style="6"/>
    <col min="9483" max="9483" width="20.5703125" style="6" bestFit="1" customWidth="1"/>
    <col min="9484" max="9484" width="9.140625" style="6"/>
    <col min="9485" max="9485" width="14.5703125" style="6" bestFit="1" customWidth="1"/>
    <col min="9486" max="9486" width="9.140625" style="6"/>
    <col min="9487" max="9487" width="18.140625" style="6" bestFit="1" customWidth="1"/>
    <col min="9488" max="9492" width="9.140625" style="6"/>
    <col min="9493" max="9493" width="15.85546875" style="6" bestFit="1" customWidth="1"/>
    <col min="9494" max="9494" width="9.140625" style="6"/>
    <col min="9495" max="9495" width="21.140625" style="6" customWidth="1"/>
    <col min="9496" max="9496" width="9.140625" style="6"/>
    <col min="9497" max="9497" width="18.42578125" style="6" bestFit="1" customWidth="1"/>
    <col min="9498" max="9498" width="9.140625" style="6"/>
    <col min="9499" max="9499" width="12" style="6" customWidth="1"/>
    <col min="9500" max="9732" width="9.140625" style="6"/>
    <col min="9733" max="9733" width="15.85546875" style="6" bestFit="1" customWidth="1"/>
    <col min="9734" max="9736" width="9.140625" style="6"/>
    <col min="9737" max="9737" width="16.5703125" style="6" bestFit="1" customWidth="1"/>
    <col min="9738" max="9738" width="9.140625" style="6"/>
    <col min="9739" max="9739" width="20.5703125" style="6" bestFit="1" customWidth="1"/>
    <col min="9740" max="9740" width="9.140625" style="6"/>
    <col min="9741" max="9741" width="14.5703125" style="6" bestFit="1" customWidth="1"/>
    <col min="9742" max="9742" width="9.140625" style="6"/>
    <col min="9743" max="9743" width="18.140625" style="6" bestFit="1" customWidth="1"/>
    <col min="9744" max="9748" width="9.140625" style="6"/>
    <col min="9749" max="9749" width="15.85546875" style="6" bestFit="1" customWidth="1"/>
    <col min="9750" max="9750" width="9.140625" style="6"/>
    <col min="9751" max="9751" width="21.140625" style="6" customWidth="1"/>
    <col min="9752" max="9752" width="9.140625" style="6"/>
    <col min="9753" max="9753" width="18.42578125" style="6" bestFit="1" customWidth="1"/>
    <col min="9754" max="9754" width="9.140625" style="6"/>
    <col min="9755" max="9755" width="12" style="6" customWidth="1"/>
    <col min="9756" max="9988" width="9.140625" style="6"/>
    <col min="9989" max="9989" width="15.85546875" style="6" bestFit="1" customWidth="1"/>
    <col min="9990" max="9992" width="9.140625" style="6"/>
    <col min="9993" max="9993" width="16.5703125" style="6" bestFit="1" customWidth="1"/>
    <col min="9994" max="9994" width="9.140625" style="6"/>
    <col min="9995" max="9995" width="20.5703125" style="6" bestFit="1" customWidth="1"/>
    <col min="9996" max="9996" width="9.140625" style="6"/>
    <col min="9997" max="9997" width="14.5703125" style="6" bestFit="1" customWidth="1"/>
    <col min="9998" max="9998" width="9.140625" style="6"/>
    <col min="9999" max="9999" width="18.140625" style="6" bestFit="1" customWidth="1"/>
    <col min="10000" max="10004" width="9.140625" style="6"/>
    <col min="10005" max="10005" width="15.85546875" style="6" bestFit="1" customWidth="1"/>
    <col min="10006" max="10006" width="9.140625" style="6"/>
    <col min="10007" max="10007" width="21.140625" style="6" customWidth="1"/>
    <col min="10008" max="10008" width="9.140625" style="6"/>
    <col min="10009" max="10009" width="18.42578125" style="6" bestFit="1" customWidth="1"/>
    <col min="10010" max="10010" width="9.140625" style="6"/>
    <col min="10011" max="10011" width="12" style="6" customWidth="1"/>
    <col min="10012" max="10244" width="9.140625" style="6"/>
    <col min="10245" max="10245" width="15.85546875" style="6" bestFit="1" customWidth="1"/>
    <col min="10246" max="10248" width="9.140625" style="6"/>
    <col min="10249" max="10249" width="16.5703125" style="6" bestFit="1" customWidth="1"/>
    <col min="10250" max="10250" width="9.140625" style="6"/>
    <col min="10251" max="10251" width="20.5703125" style="6" bestFit="1" customWidth="1"/>
    <col min="10252" max="10252" width="9.140625" style="6"/>
    <col min="10253" max="10253" width="14.5703125" style="6" bestFit="1" customWidth="1"/>
    <col min="10254" max="10254" width="9.140625" style="6"/>
    <col min="10255" max="10255" width="18.140625" style="6" bestFit="1" customWidth="1"/>
    <col min="10256" max="10260" width="9.140625" style="6"/>
    <col min="10261" max="10261" width="15.85546875" style="6" bestFit="1" customWidth="1"/>
    <col min="10262" max="10262" width="9.140625" style="6"/>
    <col min="10263" max="10263" width="21.140625" style="6" customWidth="1"/>
    <col min="10264" max="10264" width="9.140625" style="6"/>
    <col min="10265" max="10265" width="18.42578125" style="6" bestFit="1" customWidth="1"/>
    <col min="10266" max="10266" width="9.140625" style="6"/>
    <col min="10267" max="10267" width="12" style="6" customWidth="1"/>
    <col min="10268" max="10500" width="9.140625" style="6"/>
    <col min="10501" max="10501" width="15.85546875" style="6" bestFit="1" customWidth="1"/>
    <col min="10502" max="10504" width="9.140625" style="6"/>
    <col min="10505" max="10505" width="16.5703125" style="6" bestFit="1" customWidth="1"/>
    <col min="10506" max="10506" width="9.140625" style="6"/>
    <col min="10507" max="10507" width="20.5703125" style="6" bestFit="1" customWidth="1"/>
    <col min="10508" max="10508" width="9.140625" style="6"/>
    <col min="10509" max="10509" width="14.5703125" style="6" bestFit="1" customWidth="1"/>
    <col min="10510" max="10510" width="9.140625" style="6"/>
    <col min="10511" max="10511" width="18.140625" style="6" bestFit="1" customWidth="1"/>
    <col min="10512" max="10516" width="9.140625" style="6"/>
    <col min="10517" max="10517" width="15.85546875" style="6" bestFit="1" customWidth="1"/>
    <col min="10518" max="10518" width="9.140625" style="6"/>
    <col min="10519" max="10519" width="21.140625" style="6" customWidth="1"/>
    <col min="10520" max="10520" width="9.140625" style="6"/>
    <col min="10521" max="10521" width="18.42578125" style="6" bestFit="1" customWidth="1"/>
    <col min="10522" max="10522" width="9.140625" style="6"/>
    <col min="10523" max="10523" width="12" style="6" customWidth="1"/>
    <col min="10524" max="10756" width="9.140625" style="6"/>
    <col min="10757" max="10757" width="15.85546875" style="6" bestFit="1" customWidth="1"/>
    <col min="10758" max="10760" width="9.140625" style="6"/>
    <col min="10761" max="10761" width="16.5703125" style="6" bestFit="1" customWidth="1"/>
    <col min="10762" max="10762" width="9.140625" style="6"/>
    <col min="10763" max="10763" width="20.5703125" style="6" bestFit="1" customWidth="1"/>
    <col min="10764" max="10764" width="9.140625" style="6"/>
    <col min="10765" max="10765" width="14.5703125" style="6" bestFit="1" customWidth="1"/>
    <col min="10766" max="10766" width="9.140625" style="6"/>
    <col min="10767" max="10767" width="18.140625" style="6" bestFit="1" customWidth="1"/>
    <col min="10768" max="10772" width="9.140625" style="6"/>
    <col min="10773" max="10773" width="15.85546875" style="6" bestFit="1" customWidth="1"/>
    <col min="10774" max="10774" width="9.140625" style="6"/>
    <col min="10775" max="10775" width="21.140625" style="6" customWidth="1"/>
    <col min="10776" max="10776" width="9.140625" style="6"/>
    <col min="10777" max="10777" width="18.42578125" style="6" bestFit="1" customWidth="1"/>
    <col min="10778" max="10778" width="9.140625" style="6"/>
    <col min="10779" max="10779" width="12" style="6" customWidth="1"/>
    <col min="10780" max="11012" width="9.140625" style="6"/>
    <col min="11013" max="11013" width="15.85546875" style="6" bestFit="1" customWidth="1"/>
    <col min="11014" max="11016" width="9.140625" style="6"/>
    <col min="11017" max="11017" width="16.5703125" style="6" bestFit="1" customWidth="1"/>
    <col min="11018" max="11018" width="9.140625" style="6"/>
    <col min="11019" max="11019" width="20.5703125" style="6" bestFit="1" customWidth="1"/>
    <col min="11020" max="11020" width="9.140625" style="6"/>
    <col min="11021" max="11021" width="14.5703125" style="6" bestFit="1" customWidth="1"/>
    <col min="11022" max="11022" width="9.140625" style="6"/>
    <col min="11023" max="11023" width="18.140625" style="6" bestFit="1" customWidth="1"/>
    <col min="11024" max="11028" width="9.140625" style="6"/>
    <col min="11029" max="11029" width="15.85546875" style="6" bestFit="1" customWidth="1"/>
    <col min="11030" max="11030" width="9.140625" style="6"/>
    <col min="11031" max="11031" width="21.140625" style="6" customWidth="1"/>
    <col min="11032" max="11032" width="9.140625" style="6"/>
    <col min="11033" max="11033" width="18.42578125" style="6" bestFit="1" customWidth="1"/>
    <col min="11034" max="11034" width="9.140625" style="6"/>
    <col min="11035" max="11035" width="12" style="6" customWidth="1"/>
    <col min="11036" max="11268" width="9.140625" style="6"/>
    <col min="11269" max="11269" width="15.85546875" style="6" bestFit="1" customWidth="1"/>
    <col min="11270" max="11272" width="9.140625" style="6"/>
    <col min="11273" max="11273" width="16.5703125" style="6" bestFit="1" customWidth="1"/>
    <col min="11274" max="11274" width="9.140625" style="6"/>
    <col min="11275" max="11275" width="20.5703125" style="6" bestFit="1" customWidth="1"/>
    <col min="11276" max="11276" width="9.140625" style="6"/>
    <col min="11277" max="11277" width="14.5703125" style="6" bestFit="1" customWidth="1"/>
    <col min="11278" max="11278" width="9.140625" style="6"/>
    <col min="11279" max="11279" width="18.140625" style="6" bestFit="1" customWidth="1"/>
    <col min="11280" max="11284" width="9.140625" style="6"/>
    <col min="11285" max="11285" width="15.85546875" style="6" bestFit="1" customWidth="1"/>
    <col min="11286" max="11286" width="9.140625" style="6"/>
    <col min="11287" max="11287" width="21.140625" style="6" customWidth="1"/>
    <col min="11288" max="11288" width="9.140625" style="6"/>
    <col min="11289" max="11289" width="18.42578125" style="6" bestFit="1" customWidth="1"/>
    <col min="11290" max="11290" width="9.140625" style="6"/>
    <col min="11291" max="11291" width="12" style="6" customWidth="1"/>
    <col min="11292" max="11524" width="9.140625" style="6"/>
    <col min="11525" max="11525" width="15.85546875" style="6" bestFit="1" customWidth="1"/>
    <col min="11526" max="11528" width="9.140625" style="6"/>
    <col min="11529" max="11529" width="16.5703125" style="6" bestFit="1" customWidth="1"/>
    <col min="11530" max="11530" width="9.140625" style="6"/>
    <col min="11531" max="11531" width="20.5703125" style="6" bestFit="1" customWidth="1"/>
    <col min="11532" max="11532" width="9.140625" style="6"/>
    <col min="11533" max="11533" width="14.5703125" style="6" bestFit="1" customWidth="1"/>
    <col min="11534" max="11534" width="9.140625" style="6"/>
    <col min="11535" max="11535" width="18.140625" style="6" bestFit="1" customWidth="1"/>
    <col min="11536" max="11540" width="9.140625" style="6"/>
    <col min="11541" max="11541" width="15.85546875" style="6" bestFit="1" customWidth="1"/>
    <col min="11542" max="11542" width="9.140625" style="6"/>
    <col min="11543" max="11543" width="21.140625" style="6" customWidth="1"/>
    <col min="11544" max="11544" width="9.140625" style="6"/>
    <col min="11545" max="11545" width="18.42578125" style="6" bestFit="1" customWidth="1"/>
    <col min="11546" max="11546" width="9.140625" style="6"/>
    <col min="11547" max="11547" width="12" style="6" customWidth="1"/>
    <col min="11548" max="11780" width="9.140625" style="6"/>
    <col min="11781" max="11781" width="15.85546875" style="6" bestFit="1" customWidth="1"/>
    <col min="11782" max="11784" width="9.140625" style="6"/>
    <col min="11785" max="11785" width="16.5703125" style="6" bestFit="1" customWidth="1"/>
    <col min="11786" max="11786" width="9.140625" style="6"/>
    <col min="11787" max="11787" width="20.5703125" style="6" bestFit="1" customWidth="1"/>
    <col min="11788" max="11788" width="9.140625" style="6"/>
    <col min="11789" max="11789" width="14.5703125" style="6" bestFit="1" customWidth="1"/>
    <col min="11790" max="11790" width="9.140625" style="6"/>
    <col min="11791" max="11791" width="18.140625" style="6" bestFit="1" customWidth="1"/>
    <col min="11792" max="11796" width="9.140625" style="6"/>
    <col min="11797" max="11797" width="15.85546875" style="6" bestFit="1" customWidth="1"/>
    <col min="11798" max="11798" width="9.140625" style="6"/>
    <col min="11799" max="11799" width="21.140625" style="6" customWidth="1"/>
    <col min="11800" max="11800" width="9.140625" style="6"/>
    <col min="11801" max="11801" width="18.42578125" style="6" bestFit="1" customWidth="1"/>
    <col min="11802" max="11802" width="9.140625" style="6"/>
    <col min="11803" max="11803" width="12" style="6" customWidth="1"/>
    <col min="11804" max="12036" width="9.140625" style="6"/>
    <col min="12037" max="12037" width="15.85546875" style="6" bestFit="1" customWidth="1"/>
    <col min="12038" max="12040" width="9.140625" style="6"/>
    <col min="12041" max="12041" width="16.5703125" style="6" bestFit="1" customWidth="1"/>
    <col min="12042" max="12042" width="9.140625" style="6"/>
    <col min="12043" max="12043" width="20.5703125" style="6" bestFit="1" customWidth="1"/>
    <col min="12044" max="12044" width="9.140625" style="6"/>
    <col min="12045" max="12045" width="14.5703125" style="6" bestFit="1" customWidth="1"/>
    <col min="12046" max="12046" width="9.140625" style="6"/>
    <col min="12047" max="12047" width="18.140625" style="6" bestFit="1" customWidth="1"/>
    <col min="12048" max="12052" width="9.140625" style="6"/>
    <col min="12053" max="12053" width="15.85546875" style="6" bestFit="1" customWidth="1"/>
    <col min="12054" max="12054" width="9.140625" style="6"/>
    <col min="12055" max="12055" width="21.140625" style="6" customWidth="1"/>
    <col min="12056" max="12056" width="9.140625" style="6"/>
    <col min="12057" max="12057" width="18.42578125" style="6" bestFit="1" customWidth="1"/>
    <col min="12058" max="12058" width="9.140625" style="6"/>
    <col min="12059" max="12059" width="12" style="6" customWidth="1"/>
    <col min="12060" max="12292" width="9.140625" style="6"/>
    <col min="12293" max="12293" width="15.85546875" style="6" bestFit="1" customWidth="1"/>
    <col min="12294" max="12296" width="9.140625" style="6"/>
    <col min="12297" max="12297" width="16.5703125" style="6" bestFit="1" customWidth="1"/>
    <col min="12298" max="12298" width="9.140625" style="6"/>
    <col min="12299" max="12299" width="20.5703125" style="6" bestFit="1" customWidth="1"/>
    <col min="12300" max="12300" width="9.140625" style="6"/>
    <col min="12301" max="12301" width="14.5703125" style="6" bestFit="1" customWidth="1"/>
    <col min="12302" max="12302" width="9.140625" style="6"/>
    <col min="12303" max="12303" width="18.140625" style="6" bestFit="1" customWidth="1"/>
    <col min="12304" max="12308" width="9.140625" style="6"/>
    <col min="12309" max="12309" width="15.85546875" style="6" bestFit="1" customWidth="1"/>
    <col min="12310" max="12310" width="9.140625" style="6"/>
    <col min="12311" max="12311" width="21.140625" style="6" customWidth="1"/>
    <col min="12312" max="12312" width="9.140625" style="6"/>
    <col min="12313" max="12313" width="18.42578125" style="6" bestFit="1" customWidth="1"/>
    <col min="12314" max="12314" width="9.140625" style="6"/>
    <col min="12315" max="12315" width="12" style="6" customWidth="1"/>
    <col min="12316" max="12548" width="9.140625" style="6"/>
    <col min="12549" max="12549" width="15.85546875" style="6" bestFit="1" customWidth="1"/>
    <col min="12550" max="12552" width="9.140625" style="6"/>
    <col min="12553" max="12553" width="16.5703125" style="6" bestFit="1" customWidth="1"/>
    <col min="12554" max="12554" width="9.140625" style="6"/>
    <col min="12555" max="12555" width="20.5703125" style="6" bestFit="1" customWidth="1"/>
    <col min="12556" max="12556" width="9.140625" style="6"/>
    <col min="12557" max="12557" width="14.5703125" style="6" bestFit="1" customWidth="1"/>
    <col min="12558" max="12558" width="9.140625" style="6"/>
    <col min="12559" max="12559" width="18.140625" style="6" bestFit="1" customWidth="1"/>
    <col min="12560" max="12564" width="9.140625" style="6"/>
    <col min="12565" max="12565" width="15.85546875" style="6" bestFit="1" customWidth="1"/>
    <col min="12566" max="12566" width="9.140625" style="6"/>
    <col min="12567" max="12567" width="21.140625" style="6" customWidth="1"/>
    <col min="12568" max="12568" width="9.140625" style="6"/>
    <col min="12569" max="12569" width="18.42578125" style="6" bestFit="1" customWidth="1"/>
    <col min="12570" max="12570" width="9.140625" style="6"/>
    <col min="12571" max="12571" width="12" style="6" customWidth="1"/>
    <col min="12572" max="12804" width="9.140625" style="6"/>
    <col min="12805" max="12805" width="15.85546875" style="6" bestFit="1" customWidth="1"/>
    <col min="12806" max="12808" width="9.140625" style="6"/>
    <col min="12809" max="12809" width="16.5703125" style="6" bestFit="1" customWidth="1"/>
    <col min="12810" max="12810" width="9.140625" style="6"/>
    <col min="12811" max="12811" width="20.5703125" style="6" bestFit="1" customWidth="1"/>
    <col min="12812" max="12812" width="9.140625" style="6"/>
    <col min="12813" max="12813" width="14.5703125" style="6" bestFit="1" customWidth="1"/>
    <col min="12814" max="12814" width="9.140625" style="6"/>
    <col min="12815" max="12815" width="18.140625" style="6" bestFit="1" customWidth="1"/>
    <col min="12816" max="12820" width="9.140625" style="6"/>
    <col min="12821" max="12821" width="15.85546875" style="6" bestFit="1" customWidth="1"/>
    <col min="12822" max="12822" width="9.140625" style="6"/>
    <col min="12823" max="12823" width="21.140625" style="6" customWidth="1"/>
    <col min="12824" max="12824" width="9.140625" style="6"/>
    <col min="12825" max="12825" width="18.42578125" style="6" bestFit="1" customWidth="1"/>
    <col min="12826" max="12826" width="9.140625" style="6"/>
    <col min="12827" max="12827" width="12" style="6" customWidth="1"/>
    <col min="12828" max="13060" width="9.140625" style="6"/>
    <col min="13061" max="13061" width="15.85546875" style="6" bestFit="1" customWidth="1"/>
    <col min="13062" max="13064" width="9.140625" style="6"/>
    <col min="13065" max="13065" width="16.5703125" style="6" bestFit="1" customWidth="1"/>
    <col min="13066" max="13066" width="9.140625" style="6"/>
    <col min="13067" max="13067" width="20.5703125" style="6" bestFit="1" customWidth="1"/>
    <col min="13068" max="13068" width="9.140625" style="6"/>
    <col min="13069" max="13069" width="14.5703125" style="6" bestFit="1" customWidth="1"/>
    <col min="13070" max="13070" width="9.140625" style="6"/>
    <col min="13071" max="13071" width="18.140625" style="6" bestFit="1" customWidth="1"/>
    <col min="13072" max="13076" width="9.140625" style="6"/>
    <col min="13077" max="13077" width="15.85546875" style="6" bestFit="1" customWidth="1"/>
    <col min="13078" max="13078" width="9.140625" style="6"/>
    <col min="13079" max="13079" width="21.140625" style="6" customWidth="1"/>
    <col min="13080" max="13080" width="9.140625" style="6"/>
    <col min="13081" max="13081" width="18.42578125" style="6" bestFit="1" customWidth="1"/>
    <col min="13082" max="13082" width="9.140625" style="6"/>
    <col min="13083" max="13083" width="12" style="6" customWidth="1"/>
    <col min="13084" max="13316" width="9.140625" style="6"/>
    <col min="13317" max="13317" width="15.85546875" style="6" bestFit="1" customWidth="1"/>
    <col min="13318" max="13320" width="9.140625" style="6"/>
    <col min="13321" max="13321" width="16.5703125" style="6" bestFit="1" customWidth="1"/>
    <col min="13322" max="13322" width="9.140625" style="6"/>
    <col min="13323" max="13323" width="20.5703125" style="6" bestFit="1" customWidth="1"/>
    <col min="13324" max="13324" width="9.140625" style="6"/>
    <col min="13325" max="13325" width="14.5703125" style="6" bestFit="1" customWidth="1"/>
    <col min="13326" max="13326" width="9.140625" style="6"/>
    <col min="13327" max="13327" width="18.140625" style="6" bestFit="1" customWidth="1"/>
    <col min="13328" max="13332" width="9.140625" style="6"/>
    <col min="13333" max="13333" width="15.85546875" style="6" bestFit="1" customWidth="1"/>
    <col min="13334" max="13334" width="9.140625" style="6"/>
    <col min="13335" max="13335" width="21.140625" style="6" customWidth="1"/>
    <col min="13336" max="13336" width="9.140625" style="6"/>
    <col min="13337" max="13337" width="18.42578125" style="6" bestFit="1" customWidth="1"/>
    <col min="13338" max="13338" width="9.140625" style="6"/>
    <col min="13339" max="13339" width="12" style="6" customWidth="1"/>
    <col min="13340" max="13572" width="9.140625" style="6"/>
    <col min="13573" max="13573" width="15.85546875" style="6" bestFit="1" customWidth="1"/>
    <col min="13574" max="13576" width="9.140625" style="6"/>
    <col min="13577" max="13577" width="16.5703125" style="6" bestFit="1" customWidth="1"/>
    <col min="13578" max="13578" width="9.140625" style="6"/>
    <col min="13579" max="13579" width="20.5703125" style="6" bestFit="1" customWidth="1"/>
    <col min="13580" max="13580" width="9.140625" style="6"/>
    <col min="13581" max="13581" width="14.5703125" style="6" bestFit="1" customWidth="1"/>
    <col min="13582" max="13582" width="9.140625" style="6"/>
    <col min="13583" max="13583" width="18.140625" style="6" bestFit="1" customWidth="1"/>
    <col min="13584" max="13588" width="9.140625" style="6"/>
    <col min="13589" max="13589" width="15.85546875" style="6" bestFit="1" customWidth="1"/>
    <col min="13590" max="13590" width="9.140625" style="6"/>
    <col min="13591" max="13591" width="21.140625" style="6" customWidth="1"/>
    <col min="13592" max="13592" width="9.140625" style="6"/>
    <col min="13593" max="13593" width="18.42578125" style="6" bestFit="1" customWidth="1"/>
    <col min="13594" max="13594" width="9.140625" style="6"/>
    <col min="13595" max="13595" width="12" style="6" customWidth="1"/>
    <col min="13596" max="13828" width="9.140625" style="6"/>
    <col min="13829" max="13829" width="15.85546875" style="6" bestFit="1" customWidth="1"/>
    <col min="13830" max="13832" width="9.140625" style="6"/>
    <col min="13833" max="13833" width="16.5703125" style="6" bestFit="1" customWidth="1"/>
    <col min="13834" max="13834" width="9.140625" style="6"/>
    <col min="13835" max="13835" width="20.5703125" style="6" bestFit="1" customWidth="1"/>
    <col min="13836" max="13836" width="9.140625" style="6"/>
    <col min="13837" max="13837" width="14.5703125" style="6" bestFit="1" customWidth="1"/>
    <col min="13838" max="13838" width="9.140625" style="6"/>
    <col min="13839" max="13839" width="18.140625" style="6" bestFit="1" customWidth="1"/>
    <col min="13840" max="13844" width="9.140625" style="6"/>
    <col min="13845" max="13845" width="15.85546875" style="6" bestFit="1" customWidth="1"/>
    <col min="13846" max="13846" width="9.140625" style="6"/>
    <col min="13847" max="13847" width="21.140625" style="6" customWidth="1"/>
    <col min="13848" max="13848" width="9.140625" style="6"/>
    <col min="13849" max="13849" width="18.42578125" style="6" bestFit="1" customWidth="1"/>
    <col min="13850" max="13850" width="9.140625" style="6"/>
    <col min="13851" max="13851" width="12" style="6" customWidth="1"/>
    <col min="13852" max="14084" width="9.140625" style="6"/>
    <col min="14085" max="14085" width="15.85546875" style="6" bestFit="1" customWidth="1"/>
    <col min="14086" max="14088" width="9.140625" style="6"/>
    <col min="14089" max="14089" width="16.5703125" style="6" bestFit="1" customWidth="1"/>
    <col min="14090" max="14090" width="9.140625" style="6"/>
    <col min="14091" max="14091" width="20.5703125" style="6" bestFit="1" customWidth="1"/>
    <col min="14092" max="14092" width="9.140625" style="6"/>
    <col min="14093" max="14093" width="14.5703125" style="6" bestFit="1" customWidth="1"/>
    <col min="14094" max="14094" width="9.140625" style="6"/>
    <col min="14095" max="14095" width="18.140625" style="6" bestFit="1" customWidth="1"/>
    <col min="14096" max="14100" width="9.140625" style="6"/>
    <col min="14101" max="14101" width="15.85546875" style="6" bestFit="1" customWidth="1"/>
    <col min="14102" max="14102" width="9.140625" style="6"/>
    <col min="14103" max="14103" width="21.140625" style="6" customWidth="1"/>
    <col min="14104" max="14104" width="9.140625" style="6"/>
    <col min="14105" max="14105" width="18.42578125" style="6" bestFit="1" customWidth="1"/>
    <col min="14106" max="14106" width="9.140625" style="6"/>
    <col min="14107" max="14107" width="12" style="6" customWidth="1"/>
    <col min="14108" max="14340" width="9.140625" style="6"/>
    <col min="14341" max="14341" width="15.85546875" style="6" bestFit="1" customWidth="1"/>
    <col min="14342" max="14344" width="9.140625" style="6"/>
    <col min="14345" max="14345" width="16.5703125" style="6" bestFit="1" customWidth="1"/>
    <col min="14346" max="14346" width="9.140625" style="6"/>
    <col min="14347" max="14347" width="20.5703125" style="6" bestFit="1" customWidth="1"/>
    <col min="14348" max="14348" width="9.140625" style="6"/>
    <col min="14349" max="14349" width="14.5703125" style="6" bestFit="1" customWidth="1"/>
    <col min="14350" max="14350" width="9.140625" style="6"/>
    <col min="14351" max="14351" width="18.140625" style="6" bestFit="1" customWidth="1"/>
    <col min="14352" max="14356" width="9.140625" style="6"/>
    <col min="14357" max="14357" width="15.85546875" style="6" bestFit="1" customWidth="1"/>
    <col min="14358" max="14358" width="9.140625" style="6"/>
    <col min="14359" max="14359" width="21.140625" style="6" customWidth="1"/>
    <col min="14360" max="14360" width="9.140625" style="6"/>
    <col min="14361" max="14361" width="18.42578125" style="6" bestFit="1" customWidth="1"/>
    <col min="14362" max="14362" width="9.140625" style="6"/>
    <col min="14363" max="14363" width="12" style="6" customWidth="1"/>
    <col min="14364" max="14596" width="9.140625" style="6"/>
    <col min="14597" max="14597" width="15.85546875" style="6" bestFit="1" customWidth="1"/>
    <col min="14598" max="14600" width="9.140625" style="6"/>
    <col min="14601" max="14601" width="16.5703125" style="6" bestFit="1" customWidth="1"/>
    <col min="14602" max="14602" width="9.140625" style="6"/>
    <col min="14603" max="14603" width="20.5703125" style="6" bestFit="1" customWidth="1"/>
    <col min="14604" max="14604" width="9.140625" style="6"/>
    <col min="14605" max="14605" width="14.5703125" style="6" bestFit="1" customWidth="1"/>
    <col min="14606" max="14606" width="9.140625" style="6"/>
    <col min="14607" max="14607" width="18.140625" style="6" bestFit="1" customWidth="1"/>
    <col min="14608" max="14612" width="9.140625" style="6"/>
    <col min="14613" max="14613" width="15.85546875" style="6" bestFit="1" customWidth="1"/>
    <col min="14614" max="14614" width="9.140625" style="6"/>
    <col min="14615" max="14615" width="21.140625" style="6" customWidth="1"/>
    <col min="14616" max="14616" width="9.140625" style="6"/>
    <col min="14617" max="14617" width="18.42578125" style="6" bestFit="1" customWidth="1"/>
    <col min="14618" max="14618" width="9.140625" style="6"/>
    <col min="14619" max="14619" width="12" style="6" customWidth="1"/>
    <col min="14620" max="14852" width="9.140625" style="6"/>
    <col min="14853" max="14853" width="15.85546875" style="6" bestFit="1" customWidth="1"/>
    <col min="14854" max="14856" width="9.140625" style="6"/>
    <col min="14857" max="14857" width="16.5703125" style="6" bestFit="1" customWidth="1"/>
    <col min="14858" max="14858" width="9.140625" style="6"/>
    <col min="14859" max="14859" width="20.5703125" style="6" bestFit="1" customWidth="1"/>
    <col min="14860" max="14860" width="9.140625" style="6"/>
    <col min="14861" max="14861" width="14.5703125" style="6" bestFit="1" customWidth="1"/>
    <col min="14862" max="14862" width="9.140625" style="6"/>
    <col min="14863" max="14863" width="18.140625" style="6" bestFit="1" customWidth="1"/>
    <col min="14864" max="14868" width="9.140625" style="6"/>
    <col min="14869" max="14869" width="15.85546875" style="6" bestFit="1" customWidth="1"/>
    <col min="14870" max="14870" width="9.140625" style="6"/>
    <col min="14871" max="14871" width="21.140625" style="6" customWidth="1"/>
    <col min="14872" max="14872" width="9.140625" style="6"/>
    <col min="14873" max="14873" width="18.42578125" style="6" bestFit="1" customWidth="1"/>
    <col min="14874" max="14874" width="9.140625" style="6"/>
    <col min="14875" max="14875" width="12" style="6" customWidth="1"/>
    <col min="14876" max="15108" width="9.140625" style="6"/>
    <col min="15109" max="15109" width="15.85546875" style="6" bestFit="1" customWidth="1"/>
    <col min="15110" max="15112" width="9.140625" style="6"/>
    <col min="15113" max="15113" width="16.5703125" style="6" bestFit="1" customWidth="1"/>
    <col min="15114" max="15114" width="9.140625" style="6"/>
    <col min="15115" max="15115" width="20.5703125" style="6" bestFit="1" customWidth="1"/>
    <col min="15116" max="15116" width="9.140625" style="6"/>
    <col min="15117" max="15117" width="14.5703125" style="6" bestFit="1" customWidth="1"/>
    <col min="15118" max="15118" width="9.140625" style="6"/>
    <col min="15119" max="15119" width="18.140625" style="6" bestFit="1" customWidth="1"/>
    <col min="15120" max="15124" width="9.140625" style="6"/>
    <col min="15125" max="15125" width="15.85546875" style="6" bestFit="1" customWidth="1"/>
    <col min="15126" max="15126" width="9.140625" style="6"/>
    <col min="15127" max="15127" width="21.140625" style="6" customWidth="1"/>
    <col min="15128" max="15128" width="9.140625" style="6"/>
    <col min="15129" max="15129" width="18.42578125" style="6" bestFit="1" customWidth="1"/>
    <col min="15130" max="15130" width="9.140625" style="6"/>
    <col min="15131" max="15131" width="12" style="6" customWidth="1"/>
    <col min="15132" max="15364" width="9.140625" style="6"/>
    <col min="15365" max="15365" width="15.85546875" style="6" bestFit="1" customWidth="1"/>
    <col min="15366" max="15368" width="9.140625" style="6"/>
    <col min="15369" max="15369" width="16.5703125" style="6" bestFit="1" customWidth="1"/>
    <col min="15370" max="15370" width="9.140625" style="6"/>
    <col min="15371" max="15371" width="20.5703125" style="6" bestFit="1" customWidth="1"/>
    <col min="15372" max="15372" width="9.140625" style="6"/>
    <col min="15373" max="15373" width="14.5703125" style="6" bestFit="1" customWidth="1"/>
    <col min="15374" max="15374" width="9.140625" style="6"/>
    <col min="15375" max="15375" width="18.140625" style="6" bestFit="1" customWidth="1"/>
    <col min="15376" max="15380" width="9.140625" style="6"/>
    <col min="15381" max="15381" width="15.85546875" style="6" bestFit="1" customWidth="1"/>
    <col min="15382" max="15382" width="9.140625" style="6"/>
    <col min="15383" max="15383" width="21.140625" style="6" customWidth="1"/>
    <col min="15384" max="15384" width="9.140625" style="6"/>
    <col min="15385" max="15385" width="18.42578125" style="6" bestFit="1" customWidth="1"/>
    <col min="15386" max="15386" width="9.140625" style="6"/>
    <col min="15387" max="15387" width="12" style="6" customWidth="1"/>
    <col min="15388" max="15620" width="9.140625" style="6"/>
    <col min="15621" max="15621" width="15.85546875" style="6" bestFit="1" customWidth="1"/>
    <col min="15622" max="15624" width="9.140625" style="6"/>
    <col min="15625" max="15625" width="16.5703125" style="6" bestFit="1" customWidth="1"/>
    <col min="15626" max="15626" width="9.140625" style="6"/>
    <col min="15627" max="15627" width="20.5703125" style="6" bestFit="1" customWidth="1"/>
    <col min="15628" max="15628" width="9.140625" style="6"/>
    <col min="15629" max="15629" width="14.5703125" style="6" bestFit="1" customWidth="1"/>
    <col min="15630" max="15630" width="9.140625" style="6"/>
    <col min="15631" max="15631" width="18.140625" style="6" bestFit="1" customWidth="1"/>
    <col min="15632" max="15636" width="9.140625" style="6"/>
    <col min="15637" max="15637" width="15.85546875" style="6" bestFit="1" customWidth="1"/>
    <col min="15638" max="15638" width="9.140625" style="6"/>
    <col min="15639" max="15639" width="21.140625" style="6" customWidth="1"/>
    <col min="15640" max="15640" width="9.140625" style="6"/>
    <col min="15641" max="15641" width="18.42578125" style="6" bestFit="1" customWidth="1"/>
    <col min="15642" max="15642" width="9.140625" style="6"/>
    <col min="15643" max="15643" width="12" style="6" customWidth="1"/>
    <col min="15644" max="15876" width="9.140625" style="6"/>
    <col min="15877" max="15877" width="15.85546875" style="6" bestFit="1" customWidth="1"/>
    <col min="15878" max="15880" width="9.140625" style="6"/>
    <col min="15881" max="15881" width="16.5703125" style="6" bestFit="1" customWidth="1"/>
    <col min="15882" max="15882" width="9.140625" style="6"/>
    <col min="15883" max="15883" width="20.5703125" style="6" bestFit="1" customWidth="1"/>
    <col min="15884" max="15884" width="9.140625" style="6"/>
    <col min="15885" max="15885" width="14.5703125" style="6" bestFit="1" customWidth="1"/>
    <col min="15886" max="15886" width="9.140625" style="6"/>
    <col min="15887" max="15887" width="18.140625" style="6" bestFit="1" customWidth="1"/>
    <col min="15888" max="15892" width="9.140625" style="6"/>
    <col min="15893" max="15893" width="15.85546875" style="6" bestFit="1" customWidth="1"/>
    <col min="15894" max="15894" width="9.140625" style="6"/>
    <col min="15895" max="15895" width="21.140625" style="6" customWidth="1"/>
    <col min="15896" max="15896" width="9.140625" style="6"/>
    <col min="15897" max="15897" width="18.42578125" style="6" bestFit="1" customWidth="1"/>
    <col min="15898" max="15898" width="9.140625" style="6"/>
    <col min="15899" max="15899" width="12" style="6" customWidth="1"/>
    <col min="15900" max="16132" width="9.140625" style="6"/>
    <col min="16133" max="16133" width="15.85546875" style="6" bestFit="1" customWidth="1"/>
    <col min="16134" max="16136" width="9.140625" style="6"/>
    <col min="16137" max="16137" width="16.5703125" style="6" bestFit="1" customWidth="1"/>
    <col min="16138" max="16138" width="9.140625" style="6"/>
    <col min="16139" max="16139" width="20.5703125" style="6" bestFit="1" customWidth="1"/>
    <col min="16140" max="16140" width="9.140625" style="6"/>
    <col min="16141" max="16141" width="14.5703125" style="6" bestFit="1" customWidth="1"/>
    <col min="16142" max="16142" width="9.140625" style="6"/>
    <col min="16143" max="16143" width="18.140625" style="6" bestFit="1" customWidth="1"/>
    <col min="16144" max="16148" width="9.140625" style="6"/>
    <col min="16149" max="16149" width="15.85546875" style="6" bestFit="1" customWidth="1"/>
    <col min="16150" max="16150" width="9.140625" style="6"/>
    <col min="16151" max="16151" width="21.140625" style="6" customWidth="1"/>
    <col min="16152" max="16152" width="9.140625" style="6"/>
    <col min="16153" max="16153" width="18.42578125" style="6" bestFit="1" customWidth="1"/>
    <col min="16154" max="16154" width="9.140625" style="6"/>
    <col min="16155" max="16155" width="12" style="6" customWidth="1"/>
    <col min="16156" max="16384" width="9.140625" style="6"/>
  </cols>
  <sheetData>
    <row r="1" spans="1:27">
      <c r="C1" s="55" t="s">
        <v>247</v>
      </c>
      <c r="G1" s="55" t="s">
        <v>248</v>
      </c>
    </row>
    <row r="2" spans="1:27">
      <c r="B2" s="6" t="s">
        <v>249</v>
      </c>
      <c r="C2" s="6" t="s">
        <v>250</v>
      </c>
      <c r="D2" s="6" t="s">
        <v>63</v>
      </c>
      <c r="E2" s="6" t="s">
        <v>251</v>
      </c>
      <c r="F2" s="6" t="s">
        <v>133</v>
      </c>
      <c r="J2" s="6" t="s">
        <v>252</v>
      </c>
    </row>
    <row r="3" spans="1:27">
      <c r="A3" s="6">
        <v>1</v>
      </c>
      <c r="B3" s="12" t="s">
        <v>203</v>
      </c>
      <c r="C3" s="12" t="s">
        <v>253</v>
      </c>
      <c r="F3" s="6">
        <v>4</v>
      </c>
      <c r="H3" s="6">
        <v>1</v>
      </c>
      <c r="I3" s="12" t="s">
        <v>203</v>
      </c>
      <c r="J3" s="12">
        <v>4</v>
      </c>
      <c r="K3" s="6" t="s">
        <v>253</v>
      </c>
      <c r="L3" s="55" t="s">
        <v>254</v>
      </c>
      <c r="M3" s="6" t="s">
        <v>65</v>
      </c>
      <c r="AA3" s="7"/>
    </row>
    <row r="4" spans="1:27">
      <c r="B4" s="12" t="s">
        <v>253</v>
      </c>
      <c r="C4" s="6" t="s">
        <v>255</v>
      </c>
      <c r="H4" s="6">
        <v>2</v>
      </c>
      <c r="I4" s="12" t="s">
        <v>256</v>
      </c>
      <c r="J4" s="12">
        <v>2</v>
      </c>
      <c r="K4" s="6" t="s">
        <v>257</v>
      </c>
      <c r="L4" s="55" t="s">
        <v>258</v>
      </c>
      <c r="AA4" s="8"/>
    </row>
    <row r="5" spans="1:27">
      <c r="C5" s="6" t="s">
        <v>259</v>
      </c>
      <c r="H5" s="6">
        <v>3</v>
      </c>
      <c r="I5" s="12" t="s">
        <v>260</v>
      </c>
      <c r="J5" s="12">
        <v>5</v>
      </c>
      <c r="K5" s="6" t="s">
        <v>125</v>
      </c>
      <c r="L5" s="55" t="s">
        <v>261</v>
      </c>
      <c r="AA5" s="8"/>
    </row>
    <row r="6" spans="1:27">
      <c r="H6" s="6">
        <v>4</v>
      </c>
      <c r="I6" s="12" t="s">
        <v>262</v>
      </c>
      <c r="J6" s="12">
        <v>3</v>
      </c>
      <c r="K6" s="6" t="s">
        <v>113</v>
      </c>
      <c r="L6" s="55" t="s">
        <v>263</v>
      </c>
      <c r="AA6" s="9"/>
    </row>
    <row r="7" spans="1:27">
      <c r="A7" s="6">
        <v>2</v>
      </c>
      <c r="B7" s="12" t="s">
        <v>256</v>
      </c>
      <c r="C7" s="12" t="s">
        <v>264</v>
      </c>
      <c r="F7" s="6">
        <v>2</v>
      </c>
      <c r="H7" s="6">
        <v>5</v>
      </c>
      <c r="I7" s="54" t="s">
        <v>265</v>
      </c>
      <c r="J7" s="6">
        <v>16</v>
      </c>
      <c r="K7" s="6" t="s">
        <v>185</v>
      </c>
      <c r="L7" s="55" t="s">
        <v>266</v>
      </c>
    </row>
    <row r="8" spans="1:27">
      <c r="B8" s="12" t="s">
        <v>264</v>
      </c>
      <c r="C8" s="6" t="s">
        <v>267</v>
      </c>
      <c r="H8" s="6">
        <v>6</v>
      </c>
      <c r="I8" s="12" t="s">
        <v>135</v>
      </c>
      <c r="J8" s="12">
        <v>7</v>
      </c>
      <c r="K8" s="58" t="s">
        <v>268</v>
      </c>
      <c r="L8" s="55" t="s">
        <v>269</v>
      </c>
    </row>
    <row r="9" spans="1:27">
      <c r="C9" s="6" t="s">
        <v>90</v>
      </c>
      <c r="H9" s="6">
        <v>7</v>
      </c>
      <c r="I9" s="12" t="s">
        <v>270</v>
      </c>
      <c r="J9" s="12">
        <v>8</v>
      </c>
      <c r="K9" s="6" t="s">
        <v>271</v>
      </c>
      <c r="L9" s="55" t="s">
        <v>272</v>
      </c>
      <c r="W9" s="10"/>
    </row>
    <row r="10" spans="1:27">
      <c r="H10" s="6">
        <v>8</v>
      </c>
      <c r="I10" s="12" t="s">
        <v>273</v>
      </c>
      <c r="J10" s="12">
        <v>6</v>
      </c>
      <c r="K10" s="6" t="s">
        <v>274</v>
      </c>
      <c r="L10" s="55" t="s">
        <v>275</v>
      </c>
    </row>
    <row r="11" spans="1:27">
      <c r="A11" s="6">
        <v>3</v>
      </c>
      <c r="B11" s="12" t="s">
        <v>260</v>
      </c>
      <c r="C11" s="12" t="s">
        <v>125</v>
      </c>
      <c r="F11" s="6">
        <v>5</v>
      </c>
      <c r="H11" s="6">
        <v>9</v>
      </c>
      <c r="I11" s="12" t="s">
        <v>276</v>
      </c>
      <c r="J11" s="12">
        <v>1</v>
      </c>
      <c r="K11" s="6" t="s">
        <v>277</v>
      </c>
      <c r="L11" s="55" t="s">
        <v>278</v>
      </c>
    </row>
    <row r="12" spans="1:27">
      <c r="B12" s="12" t="s">
        <v>125</v>
      </c>
      <c r="C12" s="6" t="s">
        <v>279</v>
      </c>
      <c r="H12" s="6">
        <v>10</v>
      </c>
      <c r="I12" s="12" t="s">
        <v>67</v>
      </c>
      <c r="J12" s="6">
        <v>12</v>
      </c>
      <c r="K12" s="6" t="s">
        <v>280</v>
      </c>
      <c r="L12" s="55" t="s">
        <v>281</v>
      </c>
    </row>
    <row r="13" spans="1:27">
      <c r="C13" s="6" t="s">
        <v>282</v>
      </c>
      <c r="H13" s="6">
        <v>11</v>
      </c>
      <c r="I13" s="12" t="s">
        <v>52</v>
      </c>
      <c r="J13" s="6">
        <v>9</v>
      </c>
      <c r="K13" s="6" t="s">
        <v>283</v>
      </c>
      <c r="L13" s="55" t="s">
        <v>284</v>
      </c>
    </row>
    <row r="14" spans="1:27">
      <c r="H14" s="6">
        <v>12</v>
      </c>
      <c r="I14" s="54" t="s">
        <v>285</v>
      </c>
      <c r="J14" s="6">
        <v>14</v>
      </c>
      <c r="K14" s="6" t="s">
        <v>286</v>
      </c>
      <c r="L14" s="55" t="s">
        <v>287</v>
      </c>
      <c r="O14" s="6" t="s">
        <v>288</v>
      </c>
      <c r="Q14" s="6" t="s">
        <v>289</v>
      </c>
    </row>
    <row r="15" spans="1:27">
      <c r="A15" s="6">
        <v>4</v>
      </c>
      <c r="B15" s="12" t="s">
        <v>262</v>
      </c>
      <c r="C15" s="12" t="s">
        <v>113</v>
      </c>
      <c r="F15" s="6">
        <v>3</v>
      </c>
      <c r="H15" s="6">
        <v>13</v>
      </c>
      <c r="I15" s="12" t="s">
        <v>143</v>
      </c>
      <c r="J15" s="6">
        <v>10</v>
      </c>
      <c r="K15" s="6" t="s">
        <v>290</v>
      </c>
      <c r="L15" s="55" t="s">
        <v>291</v>
      </c>
      <c r="O15" s="6" t="s">
        <v>144</v>
      </c>
      <c r="Q15" s="6" t="s">
        <v>270</v>
      </c>
    </row>
    <row r="16" spans="1:27">
      <c r="B16" s="12" t="s">
        <v>113</v>
      </c>
      <c r="C16" s="6" t="s">
        <v>131</v>
      </c>
      <c r="H16" s="6">
        <v>14</v>
      </c>
      <c r="I16" s="15" t="s">
        <v>292</v>
      </c>
      <c r="J16" s="6">
        <v>15</v>
      </c>
      <c r="K16" s="6" t="s">
        <v>110</v>
      </c>
      <c r="L16" s="55" t="s">
        <v>293</v>
      </c>
    </row>
    <row r="17" spans="1:23">
      <c r="C17" s="6" t="s">
        <v>294</v>
      </c>
      <c r="H17" s="6">
        <v>15</v>
      </c>
      <c r="I17" s="54" t="s">
        <v>102</v>
      </c>
      <c r="J17" s="6">
        <v>11</v>
      </c>
      <c r="K17" s="6" t="s">
        <v>295</v>
      </c>
      <c r="L17" s="55" t="s">
        <v>296</v>
      </c>
    </row>
    <row r="18" spans="1:23">
      <c r="C18" s="15"/>
      <c r="H18" s="6">
        <v>16</v>
      </c>
      <c r="I18" s="12" t="s">
        <v>68</v>
      </c>
      <c r="J18" s="6">
        <v>13</v>
      </c>
      <c r="K18" s="6" t="s">
        <v>297</v>
      </c>
      <c r="L18" s="55" t="s">
        <v>298</v>
      </c>
      <c r="W18" s="10"/>
    </row>
    <row r="19" spans="1:23">
      <c r="A19" s="6">
        <v>5</v>
      </c>
      <c r="B19" s="12" t="s">
        <v>299</v>
      </c>
      <c r="C19" s="12" t="s">
        <v>300</v>
      </c>
      <c r="D19" s="6" t="s">
        <v>16</v>
      </c>
      <c r="F19" s="6">
        <v>16</v>
      </c>
      <c r="L19" s="6" t="s">
        <v>105</v>
      </c>
      <c r="N19" s="6" t="s">
        <v>301</v>
      </c>
      <c r="O19" s="6" t="s">
        <v>302</v>
      </c>
    </row>
    <row r="20" spans="1:23">
      <c r="B20" s="12" t="s">
        <v>300</v>
      </c>
      <c r="C20" s="6" t="s">
        <v>303</v>
      </c>
      <c r="D20" s="6" t="s">
        <v>304</v>
      </c>
      <c r="L20" s="6" t="s">
        <v>305</v>
      </c>
      <c r="N20" s="6" t="s">
        <v>306</v>
      </c>
      <c r="O20" s="12" t="s">
        <v>307</v>
      </c>
    </row>
    <row r="21" spans="1:23">
      <c r="C21" s="6" t="s">
        <v>185</v>
      </c>
      <c r="D21" s="6" t="s">
        <v>29</v>
      </c>
      <c r="I21" s="12"/>
      <c r="N21" s="6" t="s">
        <v>308</v>
      </c>
      <c r="O21" s="6" t="s">
        <v>308</v>
      </c>
    </row>
    <row r="22" spans="1:23">
      <c r="I22" s="12"/>
      <c r="N22" s="6" t="s">
        <v>309</v>
      </c>
    </row>
    <row r="23" spans="1:23">
      <c r="I23" s="12"/>
      <c r="N23" s="6" t="s">
        <v>310</v>
      </c>
      <c r="O23" s="12" t="s">
        <v>311</v>
      </c>
      <c r="W23" s="10"/>
    </row>
    <row r="24" spans="1:23" ht="16.5">
      <c r="A24" s="6">
        <v>6</v>
      </c>
      <c r="B24" s="12" t="s">
        <v>135</v>
      </c>
      <c r="C24" s="13" t="s">
        <v>268</v>
      </c>
      <c r="F24" s="6">
        <v>8</v>
      </c>
      <c r="L24" s="11" t="s">
        <v>146</v>
      </c>
      <c r="N24" s="11" t="s">
        <v>312</v>
      </c>
      <c r="O24" s="12" t="s">
        <v>313</v>
      </c>
    </row>
    <row r="25" spans="1:23" ht="16.5">
      <c r="B25" s="13" t="s">
        <v>268</v>
      </c>
      <c r="C25" s="6" t="s">
        <v>314</v>
      </c>
      <c r="L25" s="11" t="s">
        <v>90</v>
      </c>
    </row>
    <row r="26" spans="1:23">
      <c r="C26" s="6" t="s">
        <v>315</v>
      </c>
    </row>
    <row r="28" spans="1:23">
      <c r="A28" s="6">
        <v>7</v>
      </c>
      <c r="B28" s="12" t="s">
        <v>270</v>
      </c>
      <c r="C28" s="12" t="s">
        <v>316</v>
      </c>
      <c r="F28" s="6">
        <v>7</v>
      </c>
      <c r="O28" s="12"/>
      <c r="U28" s="10"/>
    </row>
    <row r="29" spans="1:23">
      <c r="B29" s="12" t="s">
        <v>316</v>
      </c>
      <c r="C29" s="6" t="s">
        <v>317</v>
      </c>
      <c r="L29" s="6" t="s">
        <v>39</v>
      </c>
      <c r="U29" s="10"/>
    </row>
    <row r="30" spans="1:23" ht="16.5">
      <c r="C30" s="6" t="s">
        <v>318</v>
      </c>
      <c r="L30" s="13" t="s">
        <v>319</v>
      </c>
      <c r="U30" s="10"/>
    </row>
    <row r="31" spans="1:23">
      <c r="U31" s="10"/>
    </row>
    <row r="32" spans="1:23">
      <c r="A32" s="6">
        <v>8</v>
      </c>
      <c r="B32" s="12" t="s">
        <v>273</v>
      </c>
      <c r="C32" s="12" t="s">
        <v>274</v>
      </c>
      <c r="F32" s="6">
        <v>6</v>
      </c>
    </row>
    <row r="33" spans="1:21">
      <c r="B33" s="12" t="s">
        <v>274</v>
      </c>
      <c r="C33" s="6" t="s">
        <v>320</v>
      </c>
    </row>
    <row r="34" spans="1:21">
      <c r="C34" s="6" t="s">
        <v>321</v>
      </c>
      <c r="I34" s="12"/>
    </row>
    <row r="35" spans="1:21">
      <c r="I35" s="12"/>
    </row>
    <row r="36" spans="1:21">
      <c r="A36" s="6">
        <v>9</v>
      </c>
      <c r="B36" s="12" t="s">
        <v>322</v>
      </c>
      <c r="C36" s="12" t="s">
        <v>323</v>
      </c>
      <c r="F36" s="6">
        <v>1</v>
      </c>
    </row>
    <row r="37" spans="1:21">
      <c r="B37" s="12" t="s">
        <v>323</v>
      </c>
      <c r="C37" s="6" t="s">
        <v>324</v>
      </c>
      <c r="U37" s="10"/>
    </row>
    <row r="38" spans="1:21">
      <c r="C38" s="6" t="s">
        <v>325</v>
      </c>
    </row>
    <row r="40" spans="1:21">
      <c r="A40" s="6">
        <v>10</v>
      </c>
      <c r="B40" s="12" t="s">
        <v>67</v>
      </c>
      <c r="C40" s="12" t="s">
        <v>280</v>
      </c>
      <c r="F40" s="6">
        <v>12</v>
      </c>
      <c r="L40" s="6" t="s">
        <v>31</v>
      </c>
    </row>
    <row r="41" spans="1:21" ht="16.5">
      <c r="B41" s="12" t="s">
        <v>280</v>
      </c>
      <c r="C41" s="6" t="s">
        <v>326</v>
      </c>
      <c r="L41" s="14" t="s">
        <v>327</v>
      </c>
    </row>
    <row r="42" spans="1:21">
      <c r="C42" s="6" t="s">
        <v>86</v>
      </c>
    </row>
    <row r="44" spans="1:21">
      <c r="A44" s="6">
        <v>11</v>
      </c>
      <c r="B44" s="12" t="s">
        <v>52</v>
      </c>
      <c r="F44" s="6">
        <v>9</v>
      </c>
    </row>
    <row r="45" spans="1:21">
      <c r="B45" s="12" t="s">
        <v>283</v>
      </c>
      <c r="C45" s="12" t="s">
        <v>283</v>
      </c>
    </row>
    <row r="46" spans="1:21">
      <c r="C46" s="6" t="s">
        <v>328</v>
      </c>
      <c r="L46" s="6" t="s">
        <v>52</v>
      </c>
    </row>
    <row r="47" spans="1:21" ht="16.5">
      <c r="C47" s="6" t="s">
        <v>329</v>
      </c>
      <c r="L47" s="13" t="s">
        <v>283</v>
      </c>
    </row>
    <row r="48" spans="1:21">
      <c r="A48" s="15"/>
      <c r="B48" s="15"/>
      <c r="C48" s="15"/>
    </row>
    <row r="49" spans="1:12">
      <c r="A49" s="6">
        <v>12</v>
      </c>
      <c r="B49" s="12" t="s">
        <v>285</v>
      </c>
      <c r="C49" s="12" t="s">
        <v>286</v>
      </c>
      <c r="F49" s="6">
        <v>14</v>
      </c>
    </row>
    <row r="50" spans="1:12">
      <c r="B50" s="12" t="s">
        <v>286</v>
      </c>
      <c r="C50" s="6" t="s">
        <v>330</v>
      </c>
      <c r="L50" s="11" t="s">
        <v>331</v>
      </c>
    </row>
    <row r="51" spans="1:12">
      <c r="C51" s="6" t="s">
        <v>106</v>
      </c>
      <c r="L51" s="11" t="s">
        <v>332</v>
      </c>
    </row>
    <row r="52" spans="1:12">
      <c r="C52" s="15"/>
    </row>
    <row r="53" spans="1:12">
      <c r="A53" s="6">
        <v>13</v>
      </c>
      <c r="B53" s="12" t="s">
        <v>143</v>
      </c>
      <c r="C53" s="12" t="s">
        <v>290</v>
      </c>
      <c r="F53" s="6">
        <v>10</v>
      </c>
      <c r="L53" s="6" t="s">
        <v>333</v>
      </c>
    </row>
    <row r="54" spans="1:12">
      <c r="B54" s="12" t="s">
        <v>290</v>
      </c>
      <c r="C54" s="6" t="s">
        <v>334</v>
      </c>
      <c r="L54" s="6" t="s">
        <v>335</v>
      </c>
    </row>
    <row r="55" spans="1:12">
      <c r="C55" s="6" t="s">
        <v>336</v>
      </c>
    </row>
    <row r="56" spans="1:12">
      <c r="L56" s="6" t="s">
        <v>337</v>
      </c>
    </row>
    <row r="57" spans="1:12">
      <c r="A57" s="6">
        <v>14</v>
      </c>
      <c r="B57" s="12" t="s">
        <v>338</v>
      </c>
      <c r="C57" s="12"/>
      <c r="F57" s="6">
        <v>15</v>
      </c>
      <c r="L57" s="6" t="s">
        <v>339</v>
      </c>
    </row>
    <row r="58" spans="1:12">
      <c r="B58" s="12"/>
    </row>
    <row r="61" spans="1:12">
      <c r="A61" s="6">
        <v>15</v>
      </c>
      <c r="B61" s="12" t="s">
        <v>340</v>
      </c>
      <c r="C61" s="12" t="s">
        <v>295</v>
      </c>
      <c r="F61" s="6">
        <v>11</v>
      </c>
    </row>
    <row r="62" spans="1:12">
      <c r="B62" s="12"/>
      <c r="C62" s="6" t="s">
        <v>341</v>
      </c>
    </row>
    <row r="65" spans="1:20">
      <c r="A65" s="6">
        <v>16</v>
      </c>
      <c r="B65" s="12" t="s">
        <v>68</v>
      </c>
      <c r="C65" s="12" t="s">
        <v>342</v>
      </c>
      <c r="F65" s="6">
        <v>13</v>
      </c>
    </row>
    <row r="66" spans="1:20">
      <c r="B66" s="12" t="s">
        <v>342</v>
      </c>
      <c r="C66" s="6" t="s">
        <v>98</v>
      </c>
    </row>
    <row r="67" spans="1:20">
      <c r="C67" s="6" t="s">
        <v>343</v>
      </c>
    </row>
    <row r="69" spans="1:20">
      <c r="C69" s="12"/>
    </row>
    <row r="72" spans="1:20">
      <c r="B72" s="6" t="s">
        <v>344</v>
      </c>
      <c r="C72" s="6" t="s">
        <v>345</v>
      </c>
      <c r="E72" s="12" t="s">
        <v>346</v>
      </c>
    </row>
    <row r="73" spans="1:20">
      <c r="A73" s="6">
        <v>1</v>
      </c>
      <c r="B73" s="12" t="s">
        <v>347</v>
      </c>
      <c r="E73" s="6" t="s">
        <v>348</v>
      </c>
    </row>
    <row r="74" spans="1:20">
      <c r="A74" s="6">
        <v>2</v>
      </c>
      <c r="B74" s="12" t="s">
        <v>322</v>
      </c>
      <c r="E74" s="6" t="s">
        <v>31</v>
      </c>
    </row>
    <row r="75" spans="1:20">
      <c r="A75" s="6">
        <v>3</v>
      </c>
      <c r="B75" s="12" t="s">
        <v>270</v>
      </c>
      <c r="C75" s="12" t="s">
        <v>349</v>
      </c>
      <c r="D75" s="11">
        <v>10</v>
      </c>
      <c r="E75" s="6" t="s">
        <v>39</v>
      </c>
      <c r="Q75" s="6" t="s">
        <v>350</v>
      </c>
    </row>
    <row r="76" spans="1:20">
      <c r="A76" s="6">
        <v>4</v>
      </c>
      <c r="B76" s="12" t="s">
        <v>351</v>
      </c>
      <c r="C76" s="6" t="s">
        <v>352</v>
      </c>
      <c r="D76" s="6">
        <v>11</v>
      </c>
      <c r="E76" s="6" t="s">
        <v>67</v>
      </c>
      <c r="J76" s="6" t="s">
        <v>59</v>
      </c>
      <c r="L76" s="6" t="s">
        <v>60</v>
      </c>
      <c r="M76" s="6" t="s">
        <v>61</v>
      </c>
      <c r="N76" s="6" t="s">
        <v>62</v>
      </c>
      <c r="Q76" s="6" t="s">
        <v>353</v>
      </c>
      <c r="R76" s="6" t="s">
        <v>354</v>
      </c>
      <c r="S76" s="6" t="s">
        <v>355</v>
      </c>
      <c r="T76" s="6" t="s">
        <v>356</v>
      </c>
    </row>
    <row r="77" spans="1:20">
      <c r="A77" s="6">
        <v>5</v>
      </c>
      <c r="B77" s="12" t="s">
        <v>260</v>
      </c>
      <c r="E77" s="6" t="s">
        <v>357</v>
      </c>
      <c r="J77" s="6" t="s">
        <v>56</v>
      </c>
      <c r="L77" s="6" t="s">
        <v>141</v>
      </c>
      <c r="M77" s="6" t="s">
        <v>39</v>
      </c>
      <c r="N77" s="6" t="s">
        <v>49</v>
      </c>
      <c r="P77" s="6" t="s">
        <v>358</v>
      </c>
      <c r="Q77" s="6" t="s">
        <v>359</v>
      </c>
      <c r="R77" s="6" t="s">
        <v>359</v>
      </c>
      <c r="S77" s="6" t="s">
        <v>360</v>
      </c>
      <c r="T77" s="6" t="s">
        <v>361</v>
      </c>
    </row>
    <row r="78" spans="1:20">
      <c r="A78" s="6">
        <v>6</v>
      </c>
      <c r="B78" s="12" t="s">
        <v>49</v>
      </c>
      <c r="C78" s="6" t="s">
        <v>69</v>
      </c>
      <c r="D78" s="6">
        <v>13</v>
      </c>
      <c r="E78" s="6" t="s">
        <v>332</v>
      </c>
      <c r="J78" s="6" t="s">
        <v>142</v>
      </c>
      <c r="L78" s="6" t="s">
        <v>21</v>
      </c>
      <c r="M78" s="6" t="s">
        <v>16</v>
      </c>
      <c r="N78" s="6" t="s">
        <v>144</v>
      </c>
      <c r="P78" s="6" t="s">
        <v>358</v>
      </c>
      <c r="Q78" s="6" t="s">
        <v>359</v>
      </c>
      <c r="R78" s="6" t="s">
        <v>360</v>
      </c>
      <c r="S78" s="6" t="s">
        <v>361</v>
      </c>
      <c r="T78" s="6" t="s">
        <v>361</v>
      </c>
    </row>
    <row r="79" spans="1:20">
      <c r="A79" s="6">
        <v>7</v>
      </c>
      <c r="B79" s="12" t="s">
        <v>362</v>
      </c>
      <c r="C79" s="6" t="s">
        <v>363</v>
      </c>
      <c r="D79" s="6">
        <v>14</v>
      </c>
      <c r="E79" s="6" t="s">
        <v>364</v>
      </c>
      <c r="J79" s="6" t="s">
        <v>136</v>
      </c>
      <c r="L79" s="16" t="s">
        <v>365</v>
      </c>
      <c r="M79" s="6" t="s">
        <v>366</v>
      </c>
      <c r="N79" s="6" t="s">
        <v>367</v>
      </c>
      <c r="P79" s="6" t="s">
        <v>358</v>
      </c>
      <c r="Q79" s="6" t="s">
        <v>359</v>
      </c>
      <c r="R79" s="6" t="s">
        <v>354</v>
      </c>
      <c r="S79" s="6" t="s">
        <v>361</v>
      </c>
      <c r="T79" s="6" t="s">
        <v>361</v>
      </c>
    </row>
    <row r="80" spans="1:20">
      <c r="A80" s="6">
        <v>8</v>
      </c>
      <c r="B80" s="12" t="s">
        <v>368</v>
      </c>
      <c r="C80" s="6" t="s">
        <v>52</v>
      </c>
      <c r="D80" s="6">
        <v>15</v>
      </c>
      <c r="J80" s="6" t="s">
        <v>105</v>
      </c>
      <c r="L80" s="16" t="s">
        <v>369</v>
      </c>
      <c r="M80" s="6" t="s">
        <v>370</v>
      </c>
      <c r="N80" s="6" t="s">
        <v>371</v>
      </c>
      <c r="P80" s="6" t="s">
        <v>358</v>
      </c>
      <c r="Q80" s="6" t="s">
        <v>360</v>
      </c>
      <c r="R80" s="6" t="s">
        <v>361</v>
      </c>
      <c r="S80" s="6" t="s">
        <v>361</v>
      </c>
      <c r="T80" s="6" t="s">
        <v>361</v>
      </c>
    </row>
    <row r="81" spans="1:14">
      <c r="A81" s="6">
        <v>9</v>
      </c>
      <c r="B81" s="12" t="s">
        <v>144</v>
      </c>
    </row>
    <row r="82" spans="1:14">
      <c r="J82" s="6" t="s">
        <v>372</v>
      </c>
      <c r="L82" s="6" t="s">
        <v>373</v>
      </c>
      <c r="M82" s="6" t="s">
        <v>374</v>
      </c>
      <c r="N82" s="6" t="s">
        <v>375</v>
      </c>
    </row>
    <row r="83" spans="1:14">
      <c r="B83" s="12"/>
      <c r="D83" s="15" t="s">
        <v>52</v>
      </c>
      <c r="F83" s="11"/>
      <c r="J83" s="6" t="s">
        <v>56</v>
      </c>
      <c r="L83" s="6" t="s">
        <v>142</v>
      </c>
      <c r="M83" s="6" t="s">
        <v>136</v>
      </c>
      <c r="N83" s="6" t="s">
        <v>105</v>
      </c>
    </row>
    <row r="84" spans="1:14">
      <c r="D84" s="15" t="s">
        <v>331</v>
      </c>
      <c r="F84" s="11"/>
      <c r="J84" s="6" t="s">
        <v>141</v>
      </c>
      <c r="L84" s="6" t="s">
        <v>21</v>
      </c>
      <c r="M84" s="16" t="s">
        <v>365</v>
      </c>
      <c r="N84" s="16" t="s">
        <v>369</v>
      </c>
    </row>
    <row r="85" spans="1:14">
      <c r="B85" s="12"/>
      <c r="D85" s="15" t="s">
        <v>31</v>
      </c>
      <c r="F85" s="11"/>
      <c r="J85" s="6" t="s">
        <v>39</v>
      </c>
      <c r="L85" s="6" t="s">
        <v>16</v>
      </c>
      <c r="M85" s="6" t="s">
        <v>366</v>
      </c>
      <c r="N85" s="6" t="s">
        <v>370</v>
      </c>
    </row>
    <row r="86" spans="1:14">
      <c r="B86" s="12"/>
      <c r="D86" s="15" t="s">
        <v>33</v>
      </c>
      <c r="F86" s="11"/>
      <c r="J86" s="6" t="s">
        <v>49</v>
      </c>
      <c r="L86" s="6" t="s">
        <v>144</v>
      </c>
      <c r="M86" s="6" t="s">
        <v>367</v>
      </c>
      <c r="N86" s="6" t="s">
        <v>371</v>
      </c>
    </row>
    <row r="87" spans="1:14">
      <c r="D87" s="15" t="s">
        <v>67</v>
      </c>
      <c r="F87" s="11"/>
      <c r="G87" s="11"/>
    </row>
    <row r="88" spans="1:14">
      <c r="B88" s="12"/>
      <c r="D88" s="15" t="s">
        <v>69</v>
      </c>
      <c r="G88" s="11"/>
    </row>
    <row r="89" spans="1:14">
      <c r="G89" s="11"/>
    </row>
    <row r="90" spans="1:14">
      <c r="G90" s="11"/>
    </row>
    <row r="91" spans="1:14">
      <c r="C91" s="6">
        <v>5</v>
      </c>
      <c r="D91" s="6">
        <v>7</v>
      </c>
      <c r="G91" s="11"/>
    </row>
  </sheetData>
  <hyperlinks>
    <hyperlink ref="C1" r:id="rId1" xr:uid="{9BD70E57-B5BD-407F-B4A2-63C4E816789C}"/>
    <hyperlink ref="L5" r:id="rId2" xr:uid="{1188EAAE-9B4B-4417-AD27-7B5E94F6D6C6}"/>
    <hyperlink ref="L10" r:id="rId3" xr:uid="{74AE2159-EAA2-4745-8870-06985F48E3AC}"/>
    <hyperlink ref="L14" r:id="rId4" xr:uid="{C732E135-F7E5-4369-960A-334373DD7412}"/>
    <hyperlink ref="L12" r:id="rId5" xr:uid="{3D9712D9-4587-4141-948A-7C1300C112FE}"/>
    <hyperlink ref="L15" r:id="rId6" xr:uid="{DDF275EB-628F-492E-84CA-BEC349B109CA}"/>
    <hyperlink ref="L6" r:id="rId7" xr:uid="{87D199FD-CF8E-4E8F-AC0A-4884E5DD5EFC}"/>
    <hyperlink ref="L3" r:id="rId8" xr:uid="{B8FDDBAA-ABE5-44BF-BD5D-BA11DAA1EE60}"/>
    <hyperlink ref="L4" r:id="rId9" xr:uid="{3A21C63D-EAB4-401A-9BA5-61537EFC5608}"/>
    <hyperlink ref="L11" r:id="rId10" xr:uid="{93C79A44-7034-4213-8DE1-583B64480825}"/>
    <hyperlink ref="L9" r:id="rId11" xr:uid="{ED9B7A97-CA19-4F1D-8E95-2C003A572C6B}"/>
    <hyperlink ref="L17" r:id="rId12" xr:uid="{820C7B03-A04B-4135-BBD3-A34F8690B40F}"/>
    <hyperlink ref="L13" r:id="rId13" xr:uid="{4B8EB49F-D1DC-4706-BEA7-36B41D7AB5C3}"/>
    <hyperlink ref="L18" r:id="rId14" xr:uid="{692D9453-702A-47D9-A415-91FEDDD952B1}"/>
    <hyperlink ref="L8" r:id="rId15" xr:uid="{B5FA1E22-D3D8-443F-A8B5-74DCB11486FA}"/>
    <hyperlink ref="G1" r:id="rId16" display="https://onedrive.live.com/?id=5AFE89A2C195D898!sfa719d4ea39b43a0a7061f176e087e3e&amp;resid=5AFE89A2C195D898!sfa719d4ea39b43a0a7061f176e087e3e&amp;cid=5afe89a2c195d898&amp;ithint=folder&amp;redeem=aHR0cHM6Ly8xZHJ2Lm1zL2YvYy81YWZlODlhMmMxOTVkODk4L0VrNmRjZnFibzZCRHB3WWZGMjRJZmo0QmFqTUNMRHFCR2gtUkVNRFMtTGxUdmc_ZT1velRRSksmZmJjbGlkPUl3WTJ4amF3RlRyRmhsZUhSdUEyRmxiUUl4TUFBQkhYWkFkMWNlSF9najYwTXk5THFlUDVSSUtqcWlvemx4cHlIVlJUM29RN3NxZ2tsbnRSTmpKTHVlblFfYWVtX25Tdmdnb2tlTDQ5d1E2YXZ3VzJwSlE&amp;migratedtospo=true" xr:uid="{FEE4D7B0-493D-4E83-A6D6-E2DAF0B3E7C1}"/>
    <hyperlink ref="L16" r:id="rId17" xr:uid="{B422EFAF-AE97-4D74-A752-F190410D102A}"/>
    <hyperlink ref="L7" r:id="rId18" xr:uid="{B51073DF-5AC2-4D43-9619-9A683E43E2DA}"/>
  </hyperlinks>
  <pageMargins left="0.7" right="0.7" top="0.75" bottom="0.75" header="0.3" footer="0.3"/>
  <pageSetup orientation="portrait" r:id="rId1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3424-B87D-41FF-8424-AA1421854CAE}">
  <dimension ref="A4:X20"/>
  <sheetViews>
    <sheetView workbookViewId="0">
      <selection activeCell="A14" sqref="A14"/>
    </sheetView>
  </sheetViews>
  <sheetFormatPr defaultRowHeight="15"/>
  <cols>
    <col min="3" max="3" width="9.85546875" bestFit="1" customWidth="1"/>
    <col min="5" max="5" width="11.42578125" bestFit="1" customWidth="1"/>
  </cols>
  <sheetData>
    <row r="4" spans="1:24">
      <c r="A4" t="s">
        <v>376</v>
      </c>
      <c r="B4" t="s">
        <v>65</v>
      </c>
      <c r="C4" t="s">
        <v>66</v>
      </c>
      <c r="D4" t="s">
        <v>377</v>
      </c>
      <c r="I4">
        <v>4</v>
      </c>
      <c r="L4">
        <v>5</v>
      </c>
    </row>
    <row r="5" spans="1:24">
      <c r="A5" t="s">
        <v>141</v>
      </c>
      <c r="B5">
        <v>10</v>
      </c>
      <c r="C5">
        <v>11</v>
      </c>
      <c r="D5">
        <f>X11</f>
        <v>101</v>
      </c>
      <c r="I5">
        <v>6</v>
      </c>
      <c r="J5">
        <v>10</v>
      </c>
      <c r="K5">
        <v>2</v>
      </c>
      <c r="L5">
        <v>2</v>
      </c>
      <c r="M5">
        <v>7</v>
      </c>
      <c r="N5">
        <v>3</v>
      </c>
    </row>
    <row r="6" spans="1:24">
      <c r="A6" t="s">
        <v>136</v>
      </c>
      <c r="B6">
        <v>9</v>
      </c>
      <c r="C6">
        <v>7</v>
      </c>
      <c r="D6">
        <f>X12</f>
        <v>92</v>
      </c>
      <c r="I6">
        <v>3</v>
      </c>
      <c r="J6">
        <v>6</v>
      </c>
      <c r="K6">
        <v>5</v>
      </c>
      <c r="L6">
        <v>0</v>
      </c>
      <c r="M6">
        <v>4</v>
      </c>
      <c r="N6">
        <v>6</v>
      </c>
    </row>
    <row r="7" spans="1:24">
      <c r="A7" t="s">
        <v>103</v>
      </c>
      <c r="B7">
        <v>9</v>
      </c>
      <c r="C7">
        <v>8</v>
      </c>
      <c r="D7">
        <f>X13</f>
        <v>100</v>
      </c>
      <c r="I7">
        <v>4</v>
      </c>
      <c r="J7">
        <v>2</v>
      </c>
      <c r="K7">
        <v>3</v>
      </c>
      <c r="L7">
        <v>7</v>
      </c>
      <c r="M7">
        <v>6</v>
      </c>
      <c r="N7">
        <v>6</v>
      </c>
    </row>
    <row r="8" spans="1:24">
      <c r="A8" t="s">
        <v>21</v>
      </c>
      <c r="B8">
        <v>8</v>
      </c>
      <c r="C8">
        <v>9</v>
      </c>
      <c r="D8">
        <f>X14</f>
        <v>97</v>
      </c>
      <c r="I8">
        <v>8</v>
      </c>
      <c r="J8">
        <v>3</v>
      </c>
      <c r="K8">
        <v>8</v>
      </c>
      <c r="L8">
        <v>7</v>
      </c>
      <c r="M8">
        <v>4</v>
      </c>
      <c r="N8">
        <v>7</v>
      </c>
    </row>
    <row r="10" spans="1:24">
      <c r="E10" t="s">
        <v>378</v>
      </c>
      <c r="F10">
        <v>1</v>
      </c>
      <c r="I10">
        <v>2</v>
      </c>
      <c r="L10">
        <v>3</v>
      </c>
      <c r="O10">
        <v>4</v>
      </c>
      <c r="R10">
        <v>5</v>
      </c>
      <c r="U10">
        <v>6</v>
      </c>
    </row>
    <row r="11" spans="1:24">
      <c r="A11" t="s">
        <v>141</v>
      </c>
      <c r="B11">
        <v>10</v>
      </c>
      <c r="C11">
        <v>8</v>
      </c>
      <c r="F11">
        <v>3</v>
      </c>
      <c r="G11">
        <v>6</v>
      </c>
      <c r="H11">
        <v>9</v>
      </c>
      <c r="I11">
        <v>10</v>
      </c>
      <c r="J11">
        <v>4</v>
      </c>
      <c r="K11">
        <v>14</v>
      </c>
      <c r="L11">
        <v>12</v>
      </c>
      <c r="M11">
        <v>5</v>
      </c>
      <c r="N11">
        <v>8</v>
      </c>
      <c r="O11">
        <v>6</v>
      </c>
      <c r="P11">
        <v>10</v>
      </c>
      <c r="Q11">
        <v>2</v>
      </c>
      <c r="R11">
        <v>2</v>
      </c>
      <c r="S11">
        <v>7</v>
      </c>
      <c r="T11">
        <v>3</v>
      </c>
      <c r="X11">
        <f>SUM(F11:W11)</f>
        <v>101</v>
      </c>
    </row>
    <row r="12" spans="1:24">
      <c r="A12" t="s">
        <v>136</v>
      </c>
      <c r="B12">
        <v>9</v>
      </c>
      <c r="C12">
        <v>6</v>
      </c>
      <c r="F12">
        <v>5</v>
      </c>
      <c r="G12">
        <v>14</v>
      </c>
      <c r="H12">
        <v>4</v>
      </c>
      <c r="I12">
        <v>10</v>
      </c>
      <c r="J12">
        <v>8</v>
      </c>
      <c r="K12">
        <v>10</v>
      </c>
      <c r="L12">
        <v>4</v>
      </c>
      <c r="M12">
        <v>6</v>
      </c>
      <c r="N12">
        <v>7</v>
      </c>
      <c r="O12">
        <v>3</v>
      </c>
      <c r="P12">
        <v>6</v>
      </c>
      <c r="Q12">
        <v>5</v>
      </c>
      <c r="R12">
        <v>0</v>
      </c>
      <c r="S12">
        <v>4</v>
      </c>
      <c r="T12">
        <v>6</v>
      </c>
      <c r="X12">
        <f t="shared" ref="X12:X14" si="0">SUM(F12:W12)</f>
        <v>92</v>
      </c>
    </row>
    <row r="13" spans="1:24">
      <c r="A13" t="s">
        <v>103</v>
      </c>
      <c r="B13">
        <v>9</v>
      </c>
      <c r="C13">
        <v>7</v>
      </c>
      <c r="F13">
        <v>9</v>
      </c>
      <c r="G13">
        <v>10</v>
      </c>
      <c r="H13">
        <v>6</v>
      </c>
      <c r="I13">
        <v>2</v>
      </c>
      <c r="J13">
        <v>8</v>
      </c>
      <c r="K13">
        <v>12</v>
      </c>
      <c r="L13">
        <v>7</v>
      </c>
      <c r="M13">
        <v>8</v>
      </c>
      <c r="N13">
        <v>10</v>
      </c>
      <c r="O13">
        <v>4</v>
      </c>
      <c r="P13">
        <v>2</v>
      </c>
      <c r="Q13">
        <v>3</v>
      </c>
      <c r="R13">
        <v>7</v>
      </c>
      <c r="S13">
        <v>6</v>
      </c>
      <c r="T13">
        <v>6</v>
      </c>
      <c r="X13">
        <f t="shared" si="0"/>
        <v>100</v>
      </c>
    </row>
    <row r="14" spans="1:24">
      <c r="A14" t="s">
        <v>21</v>
      </c>
      <c r="B14">
        <v>8</v>
      </c>
      <c r="C14">
        <v>8</v>
      </c>
      <c r="F14">
        <v>12</v>
      </c>
      <c r="G14">
        <v>4</v>
      </c>
      <c r="H14">
        <v>5</v>
      </c>
      <c r="I14">
        <v>10</v>
      </c>
      <c r="J14">
        <v>2</v>
      </c>
      <c r="K14">
        <v>7</v>
      </c>
      <c r="L14">
        <v>0</v>
      </c>
      <c r="M14">
        <v>5</v>
      </c>
      <c r="N14">
        <v>15</v>
      </c>
      <c r="O14">
        <v>8</v>
      </c>
      <c r="P14">
        <v>3</v>
      </c>
      <c r="Q14">
        <v>8</v>
      </c>
      <c r="R14">
        <v>7</v>
      </c>
      <c r="S14">
        <v>4</v>
      </c>
      <c r="T14">
        <v>7</v>
      </c>
      <c r="X14">
        <f t="shared" si="0"/>
        <v>97</v>
      </c>
    </row>
    <row r="16" spans="1:24">
      <c r="E16" t="s">
        <v>379</v>
      </c>
    </row>
    <row r="17" spans="1:11">
      <c r="A17" t="s">
        <v>141</v>
      </c>
      <c r="E17">
        <v>3</v>
      </c>
      <c r="F17">
        <v>3</v>
      </c>
      <c r="G17">
        <v>2</v>
      </c>
      <c r="H17">
        <v>2</v>
      </c>
      <c r="I17">
        <v>1</v>
      </c>
      <c r="K17">
        <f>SUM(E17:J17)</f>
        <v>11</v>
      </c>
    </row>
    <row r="18" spans="1:11">
      <c r="A18" t="s">
        <v>136</v>
      </c>
      <c r="E18">
        <v>2</v>
      </c>
      <c r="F18">
        <v>2</v>
      </c>
      <c r="G18">
        <v>1</v>
      </c>
      <c r="H18">
        <v>1</v>
      </c>
      <c r="I18">
        <v>1</v>
      </c>
      <c r="K18">
        <f t="shared" ref="K18:K20" si="1">SUM(E18:J18)</f>
        <v>7</v>
      </c>
    </row>
    <row r="19" spans="1:11">
      <c r="A19" t="s">
        <v>103</v>
      </c>
      <c r="E19">
        <v>1</v>
      </c>
      <c r="F19">
        <v>3</v>
      </c>
      <c r="G19">
        <v>2</v>
      </c>
      <c r="H19">
        <v>1</v>
      </c>
      <c r="I19">
        <v>1</v>
      </c>
      <c r="K19">
        <f t="shared" si="1"/>
        <v>8</v>
      </c>
    </row>
    <row r="20" spans="1:11">
      <c r="A20" t="s">
        <v>21</v>
      </c>
      <c r="E20">
        <v>2</v>
      </c>
      <c r="F20">
        <v>3</v>
      </c>
      <c r="G20">
        <v>1</v>
      </c>
      <c r="H20">
        <v>1</v>
      </c>
      <c r="I20">
        <v>2</v>
      </c>
      <c r="K20">
        <f t="shared" si="1"/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1E37-1060-450F-B86E-17E661BFB6C9}">
  <dimension ref="A1:AG62"/>
  <sheetViews>
    <sheetView topLeftCell="N1" workbookViewId="0">
      <selection activeCell="AA8" sqref="AA8"/>
    </sheetView>
  </sheetViews>
  <sheetFormatPr defaultRowHeight="15"/>
  <cols>
    <col min="3" max="3" width="25.85546875" bestFit="1" customWidth="1"/>
    <col min="4" max="4" width="30.5703125" bestFit="1" customWidth="1"/>
    <col min="8" max="8" width="11" bestFit="1" customWidth="1"/>
    <col min="13" max="13" width="11.42578125" bestFit="1" customWidth="1"/>
    <col min="14" max="14" width="11.5703125" bestFit="1" customWidth="1"/>
    <col min="16" max="16" width="11.42578125" customWidth="1"/>
    <col min="18" max="18" width="10.85546875" customWidth="1"/>
    <col min="22" max="22" width="24.5703125" bestFit="1" customWidth="1"/>
    <col min="23" max="23" width="21" bestFit="1" customWidth="1"/>
    <col min="24" max="24" width="16.7109375" bestFit="1" customWidth="1"/>
    <col min="25" max="25" width="15.85546875" bestFit="1" customWidth="1"/>
    <col min="26" max="26" width="11.85546875" bestFit="1" customWidth="1"/>
    <col min="33" max="33" width="24.5703125" bestFit="1" customWidth="1"/>
  </cols>
  <sheetData>
    <row r="1" spans="1:33">
      <c r="A1" t="s">
        <v>380</v>
      </c>
      <c r="T1" t="s">
        <v>381</v>
      </c>
      <c r="V1" t="s">
        <v>249</v>
      </c>
      <c r="W1" t="s">
        <v>382</v>
      </c>
      <c r="X1" t="s">
        <v>383</v>
      </c>
    </row>
    <row r="2" spans="1:33">
      <c r="A2" t="s">
        <v>384</v>
      </c>
      <c r="B2">
        <v>1</v>
      </c>
      <c r="C2" s="12" t="s">
        <v>203</v>
      </c>
      <c r="D2" s="6" t="s">
        <v>255</v>
      </c>
      <c r="E2" s="6"/>
      <c r="L2" t="s">
        <v>385</v>
      </c>
      <c r="N2" t="s">
        <v>386</v>
      </c>
      <c r="P2" t="s">
        <v>387</v>
      </c>
      <c r="R2" t="s">
        <v>388</v>
      </c>
      <c r="T2">
        <v>1</v>
      </c>
      <c r="U2">
        <v>1</v>
      </c>
      <c r="V2" s="12" t="s">
        <v>141</v>
      </c>
      <c r="W2" t="s">
        <v>389</v>
      </c>
      <c r="X2" t="s">
        <v>90</v>
      </c>
      <c r="Y2" t="s">
        <v>80</v>
      </c>
      <c r="AG2" s="12" t="s">
        <v>141</v>
      </c>
    </row>
    <row r="3" spans="1:33">
      <c r="C3" s="12" t="s">
        <v>255</v>
      </c>
      <c r="E3" s="6"/>
      <c r="L3" t="s">
        <v>141</v>
      </c>
      <c r="N3" t="s">
        <v>136</v>
      </c>
      <c r="P3" t="s">
        <v>146</v>
      </c>
      <c r="R3" t="s">
        <v>67</v>
      </c>
      <c r="T3">
        <v>4</v>
      </c>
      <c r="U3">
        <v>2</v>
      </c>
      <c r="V3" s="12" t="s">
        <v>21</v>
      </c>
      <c r="W3" t="s">
        <v>390</v>
      </c>
      <c r="X3" t="s">
        <v>318</v>
      </c>
      <c r="Y3" t="s">
        <v>391</v>
      </c>
      <c r="AG3" s="12" t="s">
        <v>21</v>
      </c>
    </row>
    <row r="4" spans="1:33">
      <c r="C4" s="6"/>
      <c r="D4" s="6"/>
      <c r="E4" s="6"/>
      <c r="L4" t="s">
        <v>21</v>
      </c>
      <c r="N4" t="s">
        <v>392</v>
      </c>
      <c r="P4" s="6" t="s">
        <v>105</v>
      </c>
      <c r="R4" t="s">
        <v>52</v>
      </c>
      <c r="T4">
        <v>3</v>
      </c>
      <c r="U4">
        <v>3</v>
      </c>
      <c r="V4" s="12" t="s">
        <v>49</v>
      </c>
      <c r="W4" s="121" t="s">
        <v>82</v>
      </c>
      <c r="X4" t="s">
        <v>393</v>
      </c>
      <c r="Y4" t="s">
        <v>394</v>
      </c>
      <c r="AG4" s="12" t="s">
        <v>49</v>
      </c>
    </row>
    <row r="5" spans="1:33">
      <c r="C5" s="6"/>
      <c r="D5" s="6"/>
      <c r="E5" s="6"/>
      <c r="L5" t="s">
        <v>49</v>
      </c>
      <c r="N5" t="s">
        <v>142</v>
      </c>
      <c r="P5" s="118" t="s">
        <v>147</v>
      </c>
      <c r="R5" s="6" t="s">
        <v>69</v>
      </c>
      <c r="T5">
        <v>2</v>
      </c>
      <c r="U5">
        <v>4</v>
      </c>
      <c r="V5" s="12" t="s">
        <v>56</v>
      </c>
      <c r="W5" t="s">
        <v>323</v>
      </c>
      <c r="X5" t="s">
        <v>324</v>
      </c>
      <c r="Y5" t="s">
        <v>395</v>
      </c>
      <c r="AG5" s="12" t="s">
        <v>56</v>
      </c>
    </row>
    <row r="6" spans="1:33">
      <c r="B6">
        <v>2</v>
      </c>
      <c r="C6" s="12" t="s">
        <v>256</v>
      </c>
      <c r="D6" s="6" t="s">
        <v>264</v>
      </c>
      <c r="E6" s="6"/>
      <c r="L6" t="s">
        <v>56</v>
      </c>
      <c r="N6" t="s">
        <v>396</v>
      </c>
      <c r="P6" s="118" t="s">
        <v>397</v>
      </c>
      <c r="R6" s="118" t="s">
        <v>398</v>
      </c>
      <c r="T6">
        <v>6</v>
      </c>
      <c r="U6">
        <v>5</v>
      </c>
      <c r="V6" s="12" t="s">
        <v>136</v>
      </c>
      <c r="W6" t="s">
        <v>106</v>
      </c>
      <c r="X6" t="s">
        <v>125</v>
      </c>
      <c r="Y6" t="s">
        <v>286</v>
      </c>
      <c r="AG6" s="12" t="s">
        <v>136</v>
      </c>
    </row>
    <row r="7" spans="1:33">
      <c r="C7" s="12" t="s">
        <v>264</v>
      </c>
      <c r="D7" s="6"/>
      <c r="E7" s="6"/>
      <c r="T7">
        <v>5</v>
      </c>
      <c r="U7">
        <v>6</v>
      </c>
      <c r="V7" s="12" t="s">
        <v>144</v>
      </c>
      <c r="W7" t="s">
        <v>122</v>
      </c>
      <c r="X7" t="s">
        <v>113</v>
      </c>
      <c r="Y7" t="s">
        <v>131</v>
      </c>
      <c r="AG7" s="12" t="s">
        <v>144</v>
      </c>
    </row>
    <row r="8" spans="1:33">
      <c r="C8" s="6"/>
      <c r="D8" s="6"/>
      <c r="E8" s="6"/>
      <c r="T8">
        <v>7</v>
      </c>
      <c r="U8">
        <v>7</v>
      </c>
      <c r="V8" s="12" t="s">
        <v>203</v>
      </c>
      <c r="W8" t="s">
        <v>399</v>
      </c>
      <c r="X8" t="s">
        <v>109</v>
      </c>
      <c r="Y8" t="s">
        <v>400</v>
      </c>
      <c r="AG8" s="12" t="s">
        <v>203</v>
      </c>
    </row>
    <row r="9" spans="1:33">
      <c r="C9" s="6"/>
      <c r="D9" s="6"/>
      <c r="E9" s="6"/>
      <c r="T9">
        <v>8</v>
      </c>
      <c r="U9">
        <v>8</v>
      </c>
      <c r="V9" s="12" t="s">
        <v>143</v>
      </c>
      <c r="W9" t="s">
        <v>290</v>
      </c>
      <c r="X9" t="s">
        <v>111</v>
      </c>
      <c r="Y9" t="s">
        <v>336</v>
      </c>
      <c r="AG9" s="12" t="s">
        <v>143</v>
      </c>
    </row>
    <row r="10" spans="1:33">
      <c r="B10">
        <v>3</v>
      </c>
      <c r="C10" s="12" t="s">
        <v>260</v>
      </c>
      <c r="D10" s="6" t="s">
        <v>125</v>
      </c>
      <c r="E10" s="6"/>
      <c r="T10">
        <v>16</v>
      </c>
      <c r="U10">
        <v>9</v>
      </c>
      <c r="V10" s="12" t="s">
        <v>67</v>
      </c>
      <c r="W10" t="s">
        <v>280</v>
      </c>
      <c r="X10" t="s">
        <v>401</v>
      </c>
      <c r="Y10" t="s">
        <v>86</v>
      </c>
      <c r="AG10" s="12" t="s">
        <v>67</v>
      </c>
    </row>
    <row r="11" spans="1:33">
      <c r="C11" s="12" t="s">
        <v>125</v>
      </c>
      <c r="D11" s="6"/>
      <c r="E11" s="6"/>
      <c r="T11">
        <v>10</v>
      </c>
      <c r="U11">
        <v>10</v>
      </c>
      <c r="V11" s="12" t="s">
        <v>402</v>
      </c>
      <c r="W11" t="s">
        <v>295</v>
      </c>
      <c r="X11" t="s">
        <v>403</v>
      </c>
      <c r="Y11" t="s">
        <v>404</v>
      </c>
      <c r="AG11" s="12" t="s">
        <v>402</v>
      </c>
    </row>
    <row r="12" spans="1:33">
      <c r="C12" s="6"/>
      <c r="D12" s="6"/>
      <c r="E12" s="6"/>
      <c r="T12">
        <v>14</v>
      </c>
      <c r="U12">
        <v>11</v>
      </c>
      <c r="V12" s="12" t="s">
        <v>405</v>
      </c>
      <c r="W12" t="s">
        <v>406</v>
      </c>
      <c r="X12" t="s">
        <v>98</v>
      </c>
      <c r="Y12" t="s">
        <v>407</v>
      </c>
      <c r="AG12" s="12" t="s">
        <v>405</v>
      </c>
    </row>
    <row r="13" spans="1:33">
      <c r="C13" s="6"/>
      <c r="D13" s="6"/>
      <c r="E13" s="6"/>
      <c r="L13" t="s">
        <v>137</v>
      </c>
      <c r="N13" t="s">
        <v>138</v>
      </c>
      <c r="P13" t="s">
        <v>139</v>
      </c>
      <c r="R13" t="s">
        <v>140</v>
      </c>
      <c r="T13">
        <v>9</v>
      </c>
      <c r="U13">
        <v>12</v>
      </c>
      <c r="V13" s="12" t="s">
        <v>52</v>
      </c>
      <c r="W13" t="s">
        <v>283</v>
      </c>
      <c r="X13" t="s">
        <v>408</v>
      </c>
      <c r="Y13" t="s">
        <v>329</v>
      </c>
      <c r="AG13" s="12" t="s">
        <v>52</v>
      </c>
    </row>
    <row r="14" spans="1:33">
      <c r="B14">
        <v>4</v>
      </c>
      <c r="C14" s="12" t="s">
        <v>262</v>
      </c>
      <c r="D14" s="6" t="s">
        <v>409</v>
      </c>
      <c r="E14" s="6"/>
      <c r="L14" t="s">
        <v>49</v>
      </c>
      <c r="N14" t="s">
        <v>56</v>
      </c>
      <c r="P14" t="s">
        <v>21</v>
      </c>
      <c r="R14" t="s">
        <v>141</v>
      </c>
      <c r="T14">
        <v>11</v>
      </c>
      <c r="U14">
        <v>13</v>
      </c>
      <c r="V14" s="1" t="s">
        <v>146</v>
      </c>
      <c r="W14" t="s">
        <v>128</v>
      </c>
      <c r="X14" t="s">
        <v>110</v>
      </c>
      <c r="Y14" t="s">
        <v>119</v>
      </c>
      <c r="AG14" s="1" t="s">
        <v>146</v>
      </c>
    </row>
    <row r="15" spans="1:33">
      <c r="C15" s="12"/>
      <c r="D15" s="6"/>
      <c r="E15" s="6"/>
      <c r="L15" t="s">
        <v>136</v>
      </c>
      <c r="N15" t="s">
        <v>142</v>
      </c>
      <c r="P15" t="s">
        <v>143</v>
      </c>
      <c r="R15" t="s">
        <v>144</v>
      </c>
      <c r="T15">
        <v>13</v>
      </c>
      <c r="U15">
        <v>14</v>
      </c>
      <c r="V15" s="1" t="s">
        <v>105</v>
      </c>
      <c r="W15" t="s">
        <v>410</v>
      </c>
      <c r="X15" t="s">
        <v>411</v>
      </c>
      <c r="Y15" t="s">
        <v>412</v>
      </c>
      <c r="AG15" s="1" t="s">
        <v>105</v>
      </c>
    </row>
    <row r="16" spans="1:33">
      <c r="C16" s="6"/>
      <c r="D16" s="6"/>
      <c r="E16" s="6"/>
      <c r="L16" s="6" t="s">
        <v>145</v>
      </c>
      <c r="N16" t="s">
        <v>146</v>
      </c>
      <c r="P16" t="s">
        <v>147</v>
      </c>
      <c r="R16" t="s">
        <v>105</v>
      </c>
      <c r="T16">
        <v>15</v>
      </c>
      <c r="U16">
        <v>15</v>
      </c>
      <c r="V16" s="12" t="s">
        <v>69</v>
      </c>
      <c r="W16" t="s">
        <v>413</v>
      </c>
      <c r="X16" t="s">
        <v>414</v>
      </c>
      <c r="Y16" t="s">
        <v>415</v>
      </c>
      <c r="AG16" s="12" t="s">
        <v>69</v>
      </c>
    </row>
    <row r="17" spans="2:33">
      <c r="C17" s="6"/>
      <c r="D17" s="15"/>
      <c r="E17" s="6"/>
      <c r="L17" t="s">
        <v>52</v>
      </c>
      <c r="N17" t="s">
        <v>67</v>
      </c>
      <c r="P17" s="6" t="s">
        <v>68</v>
      </c>
      <c r="R17" t="s">
        <v>69</v>
      </c>
      <c r="T17">
        <v>12</v>
      </c>
      <c r="U17">
        <v>16</v>
      </c>
      <c r="V17" s="1" t="s">
        <v>147</v>
      </c>
      <c r="W17" t="s">
        <v>416</v>
      </c>
      <c r="X17" t="s">
        <v>185</v>
      </c>
      <c r="Y17" t="s">
        <v>417</v>
      </c>
      <c r="AG17" s="1" t="s">
        <v>147</v>
      </c>
    </row>
    <row r="18" spans="2:33" ht="16.5">
      <c r="B18">
        <v>5</v>
      </c>
      <c r="C18" s="12" t="s">
        <v>135</v>
      </c>
      <c r="D18" s="14" t="s">
        <v>268</v>
      </c>
      <c r="E18" s="6"/>
    </row>
    <row r="19" spans="2:33" ht="16.5">
      <c r="C19" s="13" t="s">
        <v>268</v>
      </c>
      <c r="D19" s="6"/>
      <c r="E19" s="6"/>
    </row>
    <row r="20" spans="2:33">
      <c r="C20" s="6"/>
      <c r="D20" s="6"/>
      <c r="E20" s="6"/>
    </row>
    <row r="21" spans="2:33">
      <c r="C21" s="6"/>
      <c r="D21" s="6"/>
      <c r="E21" s="6"/>
      <c r="V21" s="12"/>
    </row>
    <row r="22" spans="2:33">
      <c r="B22">
        <v>6</v>
      </c>
      <c r="C22" s="12" t="s">
        <v>270</v>
      </c>
      <c r="D22" s="6" t="s">
        <v>390</v>
      </c>
      <c r="E22" s="6"/>
    </row>
    <row r="23" spans="2:33">
      <c r="C23" s="12"/>
      <c r="D23" s="6"/>
      <c r="E23" s="6"/>
    </row>
    <row r="24" spans="2:33">
      <c r="C24" s="6"/>
      <c r="D24" s="6"/>
      <c r="E24" s="6"/>
    </row>
    <row r="25" spans="2:33">
      <c r="C25" s="6"/>
      <c r="D25" s="6"/>
      <c r="E25" s="6"/>
    </row>
    <row r="26" spans="2:33">
      <c r="B26">
        <v>7</v>
      </c>
      <c r="C26" s="12" t="s">
        <v>273</v>
      </c>
      <c r="D26" s="6" t="s">
        <v>274</v>
      </c>
      <c r="E26" s="6"/>
      <c r="U26" t="s">
        <v>418</v>
      </c>
      <c r="V26" t="s">
        <v>348</v>
      </c>
      <c r="W26" t="s">
        <v>419</v>
      </c>
      <c r="X26" t="s">
        <v>420</v>
      </c>
    </row>
    <row r="27" spans="2:33">
      <c r="C27" s="12" t="s">
        <v>274</v>
      </c>
      <c r="D27" s="6"/>
      <c r="E27" s="6"/>
    </row>
    <row r="28" spans="2:33">
      <c r="C28" s="6"/>
      <c r="D28" s="6"/>
      <c r="E28" s="6"/>
      <c r="V28" t="s">
        <v>421</v>
      </c>
      <c r="W28" t="s">
        <v>422</v>
      </c>
      <c r="X28" t="s">
        <v>420</v>
      </c>
    </row>
    <row r="29" spans="2:33">
      <c r="C29" s="6"/>
      <c r="D29" s="6"/>
      <c r="E29" s="6"/>
      <c r="V29" t="s">
        <v>423</v>
      </c>
      <c r="W29" t="s">
        <v>420</v>
      </c>
    </row>
    <row r="30" spans="2:33">
      <c r="B30">
        <v>8</v>
      </c>
      <c r="C30" s="12" t="s">
        <v>322</v>
      </c>
      <c r="D30" s="6" t="s">
        <v>323</v>
      </c>
      <c r="E30" s="6"/>
      <c r="V30" t="s">
        <v>39</v>
      </c>
      <c r="W30" t="s">
        <v>424</v>
      </c>
      <c r="X30" t="s">
        <v>425</v>
      </c>
    </row>
    <row r="31" spans="2:33">
      <c r="C31" s="12" t="s">
        <v>323</v>
      </c>
      <c r="D31" s="6"/>
      <c r="E31" s="6"/>
      <c r="V31" t="s">
        <v>426</v>
      </c>
      <c r="W31" t="s">
        <v>427</v>
      </c>
      <c r="X31" t="s">
        <v>420</v>
      </c>
    </row>
    <row r="32" spans="2:33">
      <c r="C32" s="6"/>
      <c r="D32" s="6"/>
      <c r="E32" s="6"/>
    </row>
    <row r="33" spans="2:5">
      <c r="C33" s="6"/>
      <c r="D33" s="6"/>
      <c r="E33" s="6"/>
    </row>
    <row r="34" spans="2:5">
      <c r="B34">
        <v>9</v>
      </c>
      <c r="C34" s="12" t="s">
        <v>67</v>
      </c>
      <c r="D34" s="6" t="s">
        <v>280</v>
      </c>
      <c r="E34" s="6"/>
    </row>
    <row r="35" spans="2:5">
      <c r="C35" s="12" t="s">
        <v>280</v>
      </c>
      <c r="D35" s="6"/>
      <c r="E35" s="6"/>
    </row>
    <row r="36" spans="2:5">
      <c r="C36" s="6"/>
      <c r="D36" s="6"/>
      <c r="E36" s="6"/>
    </row>
    <row r="37" spans="2:5">
      <c r="C37" s="6"/>
      <c r="D37" s="6"/>
      <c r="E37" s="6"/>
    </row>
    <row r="38" spans="2:5">
      <c r="B38">
        <v>10</v>
      </c>
      <c r="C38" s="12" t="s">
        <v>52</v>
      </c>
      <c r="D38" s="6" t="s">
        <v>283</v>
      </c>
      <c r="E38" s="6"/>
    </row>
    <row r="39" spans="2:5">
      <c r="C39" s="12" t="s">
        <v>283</v>
      </c>
      <c r="D39" s="6"/>
      <c r="E39" s="6"/>
    </row>
    <row r="40" spans="2:5">
      <c r="C40" s="6"/>
      <c r="D40" s="6"/>
      <c r="E40" s="6"/>
    </row>
    <row r="41" spans="2:5">
      <c r="C41" s="15"/>
      <c r="D41" s="15"/>
      <c r="E41" s="6"/>
    </row>
    <row r="42" spans="2:5">
      <c r="B42">
        <v>11</v>
      </c>
      <c r="C42" s="12" t="s">
        <v>143</v>
      </c>
      <c r="D42" s="6" t="s">
        <v>290</v>
      </c>
      <c r="E42" s="6"/>
    </row>
    <row r="43" spans="2:5">
      <c r="C43" s="12" t="s">
        <v>290</v>
      </c>
      <c r="D43" s="6"/>
      <c r="E43" s="6"/>
    </row>
    <row r="44" spans="2:5">
      <c r="C44" s="6"/>
      <c r="D44" s="6"/>
      <c r="E44" s="6"/>
    </row>
    <row r="45" spans="2:5">
      <c r="C45" s="6"/>
      <c r="D45" s="6"/>
      <c r="E45" s="6"/>
    </row>
    <row r="46" spans="2:5">
      <c r="B46">
        <v>12</v>
      </c>
      <c r="C46" s="12" t="s">
        <v>68</v>
      </c>
      <c r="D46" s="6" t="s">
        <v>342</v>
      </c>
      <c r="E46" s="6"/>
    </row>
    <row r="47" spans="2:5">
      <c r="C47" s="12" t="s">
        <v>342</v>
      </c>
      <c r="D47" s="6"/>
      <c r="E47" s="6"/>
    </row>
    <row r="48" spans="2:5">
      <c r="C48" s="6"/>
      <c r="D48" s="6"/>
      <c r="E48" s="6"/>
    </row>
    <row r="50" spans="2:4">
      <c r="B50">
        <v>13</v>
      </c>
      <c r="C50" s="1" t="s">
        <v>69</v>
      </c>
      <c r="D50" t="s">
        <v>332</v>
      </c>
    </row>
    <row r="54" spans="2:4">
      <c r="B54">
        <v>14</v>
      </c>
      <c r="C54" s="1" t="s">
        <v>102</v>
      </c>
      <c r="D54" t="s">
        <v>295</v>
      </c>
    </row>
    <row r="58" spans="2:4">
      <c r="B58">
        <v>15</v>
      </c>
      <c r="C58" t="s">
        <v>428</v>
      </c>
    </row>
    <row r="62" spans="2:4">
      <c r="B62">
        <v>16</v>
      </c>
      <c r="C62" t="s">
        <v>429</v>
      </c>
    </row>
  </sheetData>
  <sortState xmlns:xlrd2="http://schemas.microsoft.com/office/spreadsheetml/2017/richdata2" ref="U2:V17">
    <sortCondition ref="U2:U1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11B2-B324-495B-9041-070D54CB8DB8}">
  <dimension ref="R1:AI20"/>
  <sheetViews>
    <sheetView topLeftCell="Q1" workbookViewId="0">
      <selection activeCell="Z4" sqref="Z4"/>
    </sheetView>
  </sheetViews>
  <sheetFormatPr defaultRowHeight="15"/>
  <cols>
    <col min="18" max="18" width="27.7109375" bestFit="1" customWidth="1"/>
    <col min="21" max="21" width="11.28515625" bestFit="1" customWidth="1"/>
    <col min="26" max="26" width="11.140625" bestFit="1" customWidth="1"/>
    <col min="29" max="29" width="11.85546875" bestFit="1" customWidth="1"/>
  </cols>
  <sheetData>
    <row r="1" spans="18:35" ht="33.75">
      <c r="R1" s="119" t="s">
        <v>59</v>
      </c>
      <c r="S1" s="119" t="s">
        <v>65</v>
      </c>
      <c r="T1" s="119"/>
      <c r="U1" s="119" t="s">
        <v>60</v>
      </c>
      <c r="V1" s="119"/>
      <c r="Z1" t="s">
        <v>430</v>
      </c>
      <c r="AA1" t="s">
        <v>65</v>
      </c>
      <c r="AC1" t="s">
        <v>431</v>
      </c>
      <c r="AI1" s="165" t="s">
        <v>432</v>
      </c>
    </row>
    <row r="2" spans="18:35" ht="33.75">
      <c r="R2" t="s">
        <v>136</v>
      </c>
      <c r="S2" s="119"/>
      <c r="T2" s="119"/>
      <c r="U2" t="s">
        <v>146</v>
      </c>
      <c r="V2" s="119"/>
      <c r="Z2" s="12" t="s">
        <v>141</v>
      </c>
      <c r="AA2">
        <v>17</v>
      </c>
      <c r="AC2" s="12" t="s">
        <v>49</v>
      </c>
      <c r="AD2">
        <v>19</v>
      </c>
      <c r="AI2" s="165" t="s">
        <v>433</v>
      </c>
    </row>
    <row r="3" spans="18:35" ht="33.75">
      <c r="R3" s="6" t="s">
        <v>145</v>
      </c>
      <c r="S3" s="119"/>
      <c r="U3" t="s">
        <v>142</v>
      </c>
      <c r="V3" s="119"/>
      <c r="Z3" s="12" t="s">
        <v>146</v>
      </c>
      <c r="AA3">
        <v>13</v>
      </c>
      <c r="AC3" s="12" t="s">
        <v>56</v>
      </c>
      <c r="AD3">
        <v>18</v>
      </c>
      <c r="AI3" s="165" t="s">
        <v>434</v>
      </c>
    </row>
    <row r="4" spans="18:35" ht="33.75">
      <c r="R4" t="s">
        <v>49</v>
      </c>
      <c r="S4" s="119"/>
      <c r="T4" s="119"/>
      <c r="U4" t="s">
        <v>56</v>
      </c>
      <c r="V4" s="119"/>
      <c r="Z4" s="12" t="s">
        <v>136</v>
      </c>
      <c r="AA4">
        <v>13</v>
      </c>
      <c r="AC4" s="12" t="s">
        <v>143</v>
      </c>
      <c r="AD4">
        <v>11</v>
      </c>
      <c r="AI4" s="165" t="s">
        <v>435</v>
      </c>
    </row>
    <row r="5" spans="18:35" ht="33.75">
      <c r="R5" t="s">
        <v>52</v>
      </c>
      <c r="S5" s="119"/>
      <c r="T5" s="119"/>
      <c r="U5" t="s">
        <v>67</v>
      </c>
      <c r="V5" s="119"/>
      <c r="Z5" s="12" t="s">
        <v>436</v>
      </c>
      <c r="AA5">
        <v>11</v>
      </c>
      <c r="AC5" s="12" t="s">
        <v>69</v>
      </c>
      <c r="AD5">
        <v>10</v>
      </c>
      <c r="AI5" s="165" t="s">
        <v>437</v>
      </c>
    </row>
    <row r="6" spans="18:35" ht="21">
      <c r="R6" s="119"/>
      <c r="S6" s="119"/>
      <c r="T6" s="119"/>
      <c r="U6" s="119"/>
      <c r="V6" s="119"/>
      <c r="AI6" s="165" t="s">
        <v>438</v>
      </c>
    </row>
    <row r="7" spans="18:35" ht="33.75">
      <c r="R7" s="119" t="s">
        <v>61</v>
      </c>
      <c r="S7" s="119"/>
      <c r="T7" s="119"/>
      <c r="U7" s="119" t="s">
        <v>62</v>
      </c>
      <c r="V7" s="119"/>
      <c r="Z7" t="s">
        <v>439</v>
      </c>
      <c r="AC7" t="s">
        <v>440</v>
      </c>
      <c r="AI7" s="165" t="s">
        <v>441</v>
      </c>
    </row>
    <row r="8" spans="18:35" ht="33.75">
      <c r="R8" t="s">
        <v>21</v>
      </c>
      <c r="S8" s="119"/>
      <c r="T8" s="119"/>
      <c r="U8" t="s">
        <v>141</v>
      </c>
      <c r="V8" s="119"/>
      <c r="Z8" s="12" t="s">
        <v>102</v>
      </c>
      <c r="AA8">
        <v>24</v>
      </c>
      <c r="AC8" s="1" t="s">
        <v>104</v>
      </c>
      <c r="AD8">
        <v>22</v>
      </c>
      <c r="AI8" s="165" t="s">
        <v>442</v>
      </c>
    </row>
    <row r="9" spans="18:35" ht="33.75">
      <c r="R9" s="6" t="s">
        <v>68</v>
      </c>
      <c r="S9" s="119"/>
      <c r="T9" s="119"/>
      <c r="U9" t="s">
        <v>144</v>
      </c>
      <c r="V9" s="119"/>
      <c r="Z9" s="12" t="s">
        <v>142</v>
      </c>
      <c r="AA9">
        <v>15</v>
      </c>
      <c r="AC9" s="12" t="s">
        <v>52</v>
      </c>
      <c r="AD9">
        <v>20</v>
      </c>
      <c r="AI9" s="165" t="s">
        <v>443</v>
      </c>
    </row>
    <row r="10" spans="18:35" ht="33.75">
      <c r="R10" t="s">
        <v>143</v>
      </c>
      <c r="S10" s="119"/>
      <c r="T10" s="119"/>
      <c r="U10" t="s">
        <v>69</v>
      </c>
      <c r="V10" s="119"/>
      <c r="Z10" s="12" t="s">
        <v>144</v>
      </c>
      <c r="AA10">
        <v>10</v>
      </c>
      <c r="AC10" s="12" t="s">
        <v>105</v>
      </c>
      <c r="AD10">
        <v>12</v>
      </c>
      <c r="AI10" s="165" t="s">
        <v>444</v>
      </c>
    </row>
    <row r="11" spans="18:35" ht="21">
      <c r="R11" t="s">
        <v>147</v>
      </c>
      <c r="S11" s="119"/>
      <c r="T11" s="119"/>
      <c r="U11" t="s">
        <v>105</v>
      </c>
      <c r="V11" s="119"/>
      <c r="Z11" s="1" t="s">
        <v>68</v>
      </c>
      <c r="AA11">
        <v>6</v>
      </c>
      <c r="AC11" s="12" t="s">
        <v>67</v>
      </c>
      <c r="AD11">
        <v>2</v>
      </c>
      <c r="AI11" s="165" t="s">
        <v>445</v>
      </c>
    </row>
    <row r="12" spans="18:35" ht="33.75">
      <c r="AI12" s="165" t="s">
        <v>446</v>
      </c>
    </row>
    <row r="13" spans="18:35" ht="33.75">
      <c r="AI13" s="165" t="s">
        <v>447</v>
      </c>
    </row>
    <row r="14" spans="18:35" ht="33.75">
      <c r="AI14" s="165" t="s">
        <v>448</v>
      </c>
    </row>
    <row r="15" spans="18:35" ht="33.75">
      <c r="AI15" s="165" t="s">
        <v>449</v>
      </c>
    </row>
    <row r="16" spans="18:35" ht="16.5">
      <c r="AI16" s="165" t="s">
        <v>376</v>
      </c>
    </row>
    <row r="17" spans="35:35" ht="16.5">
      <c r="AI17" s="165" t="s">
        <v>450</v>
      </c>
    </row>
    <row r="18" spans="35:35" ht="33.75">
      <c r="AI18" s="165" t="s">
        <v>451</v>
      </c>
    </row>
    <row r="19" spans="35:35" ht="33.75">
      <c r="AI19" s="165" t="s">
        <v>452</v>
      </c>
    </row>
    <row r="20" spans="35:35" ht="33.75">
      <c r="AI20" s="165" t="s">
        <v>453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F42E-A93B-4AF2-A5AF-C61070B14120}">
  <dimension ref="A1:AV114"/>
  <sheetViews>
    <sheetView topLeftCell="AK1" workbookViewId="0">
      <selection activeCell="AZ16" sqref="AZ16"/>
    </sheetView>
  </sheetViews>
  <sheetFormatPr defaultRowHeight="15"/>
  <cols>
    <col min="2" max="2" width="26" bestFit="1" customWidth="1"/>
    <col min="9" max="10" width="19.5703125" bestFit="1" customWidth="1"/>
    <col min="11" max="11" width="19" bestFit="1" customWidth="1"/>
    <col min="12" max="12" width="12" customWidth="1"/>
    <col min="13" max="13" width="11.5703125" customWidth="1"/>
    <col min="15" max="15" width="19.5703125" bestFit="1" customWidth="1"/>
    <col min="36" max="36" width="27.42578125" customWidth="1"/>
    <col min="39" max="39" width="24.5703125" customWidth="1"/>
    <col min="44" max="44" width="19.5703125" bestFit="1" customWidth="1"/>
    <col min="47" max="47" width="14.85546875" customWidth="1"/>
  </cols>
  <sheetData>
    <row r="1" spans="1:48">
      <c r="A1" s="6"/>
      <c r="B1" s="6"/>
      <c r="C1" s="55" t="s">
        <v>247</v>
      </c>
      <c r="D1" s="6"/>
      <c r="E1" s="6"/>
      <c r="F1" s="6"/>
      <c r="G1" s="55" t="s">
        <v>248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48">
      <c r="A2" s="6"/>
      <c r="B2" s="6" t="s">
        <v>249</v>
      </c>
      <c r="C2" s="6" t="s">
        <v>250</v>
      </c>
      <c r="D2" s="6" t="s">
        <v>63</v>
      </c>
      <c r="E2" s="6" t="s">
        <v>251</v>
      </c>
      <c r="F2" s="6" t="s">
        <v>133</v>
      </c>
      <c r="G2" s="6"/>
      <c r="H2" s="6"/>
      <c r="I2" s="6"/>
      <c r="J2" s="6" t="s">
        <v>252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48" ht="21">
      <c r="A3" s="6">
        <v>1</v>
      </c>
      <c r="B3" s="6" t="s">
        <v>203</v>
      </c>
      <c r="C3" s="6" t="s">
        <v>253</v>
      </c>
      <c r="D3" s="6"/>
      <c r="E3" s="6"/>
      <c r="F3" s="6">
        <v>4</v>
      </c>
      <c r="G3" s="6"/>
      <c r="H3" s="6">
        <v>1</v>
      </c>
      <c r="I3" s="6" t="s">
        <v>203</v>
      </c>
      <c r="J3" s="6"/>
      <c r="K3" s="6" t="s">
        <v>253</v>
      </c>
      <c r="L3" s="55" t="s">
        <v>254</v>
      </c>
      <c r="M3" s="6" t="s">
        <v>65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  <c r="AJ3" s="119" t="s">
        <v>59</v>
      </c>
      <c r="AK3" s="119" t="s">
        <v>65</v>
      </c>
      <c r="AL3" s="119"/>
      <c r="AM3" s="119" t="s">
        <v>60</v>
      </c>
      <c r="AN3" s="119"/>
      <c r="AR3" t="s">
        <v>430</v>
      </c>
      <c r="AS3" t="s">
        <v>65</v>
      </c>
      <c r="AU3" t="s">
        <v>431</v>
      </c>
    </row>
    <row r="4" spans="1:48" ht="21">
      <c r="A4" s="6"/>
      <c r="B4" s="6" t="s">
        <v>253</v>
      </c>
      <c r="C4" s="6" t="s">
        <v>255</v>
      </c>
      <c r="D4" s="6"/>
      <c r="E4" s="6"/>
      <c r="F4" s="6"/>
      <c r="G4" s="6"/>
      <c r="H4" s="6">
        <v>2</v>
      </c>
      <c r="I4" s="12" t="s">
        <v>256</v>
      </c>
      <c r="J4" s="6"/>
      <c r="K4" s="6" t="s">
        <v>257</v>
      </c>
      <c r="L4" s="55" t="s">
        <v>258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8"/>
      <c r="AJ4" s="120" t="s">
        <v>270</v>
      </c>
      <c r="AK4" s="119">
        <v>30</v>
      </c>
      <c r="AL4" s="119"/>
      <c r="AM4" s="120" t="s">
        <v>454</v>
      </c>
      <c r="AN4" s="119">
        <v>24</v>
      </c>
      <c r="AR4" s="12" t="s">
        <v>455</v>
      </c>
      <c r="AS4">
        <v>28</v>
      </c>
      <c r="AU4" s="12" t="s">
        <v>143</v>
      </c>
      <c r="AV4">
        <v>21</v>
      </c>
    </row>
    <row r="5" spans="1:48" ht="21">
      <c r="A5" s="6"/>
      <c r="B5" s="6"/>
      <c r="C5" s="6" t="s">
        <v>259</v>
      </c>
      <c r="D5" s="6"/>
      <c r="E5" s="6"/>
      <c r="F5" s="6"/>
      <c r="G5" s="6"/>
      <c r="H5" s="6">
        <v>3</v>
      </c>
      <c r="I5" s="6" t="s">
        <v>260</v>
      </c>
      <c r="J5" s="6"/>
      <c r="K5" s="6" t="s">
        <v>125</v>
      </c>
      <c r="L5" s="55" t="s">
        <v>261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8"/>
      <c r="AJ5" s="120" t="s">
        <v>276</v>
      </c>
      <c r="AK5" s="119">
        <v>15</v>
      </c>
      <c r="AL5" s="119"/>
      <c r="AM5" s="120" t="s">
        <v>273</v>
      </c>
      <c r="AN5" s="119">
        <v>15</v>
      </c>
      <c r="AR5" s="12" t="s">
        <v>456</v>
      </c>
      <c r="AS5">
        <v>13</v>
      </c>
      <c r="AU5" s="12" t="s">
        <v>142</v>
      </c>
      <c r="AV5">
        <v>16</v>
      </c>
    </row>
    <row r="6" spans="1:48" ht="21">
      <c r="A6" s="6"/>
      <c r="B6" s="6"/>
      <c r="C6" s="6"/>
      <c r="D6" s="6"/>
      <c r="E6" s="6"/>
      <c r="F6" s="6"/>
      <c r="G6" s="6"/>
      <c r="H6" s="6">
        <v>4</v>
      </c>
      <c r="I6" s="6" t="s">
        <v>262</v>
      </c>
      <c r="J6" s="6"/>
      <c r="K6" s="6" t="s">
        <v>113</v>
      </c>
      <c r="L6" s="55" t="s">
        <v>263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9"/>
      <c r="AJ6" s="120" t="s">
        <v>457</v>
      </c>
      <c r="AK6" s="119">
        <v>10</v>
      </c>
      <c r="AL6" s="119"/>
      <c r="AM6" s="120" t="s">
        <v>143</v>
      </c>
      <c r="AN6" s="119">
        <v>13</v>
      </c>
      <c r="AR6" s="12" t="s">
        <v>49</v>
      </c>
      <c r="AS6">
        <v>12</v>
      </c>
      <c r="AU6" s="12" t="s">
        <v>102</v>
      </c>
      <c r="AV6">
        <v>14</v>
      </c>
    </row>
    <row r="7" spans="1:48" ht="21">
      <c r="A7" s="6">
        <v>2</v>
      </c>
      <c r="B7" s="12" t="s">
        <v>256</v>
      </c>
      <c r="C7" s="12" t="s">
        <v>264</v>
      </c>
      <c r="D7" s="6"/>
      <c r="E7" s="6"/>
      <c r="F7" s="6">
        <v>2</v>
      </c>
      <c r="G7" s="6"/>
      <c r="H7" s="6">
        <v>5</v>
      </c>
      <c r="I7" s="6" t="s">
        <v>265</v>
      </c>
      <c r="J7" s="6"/>
      <c r="K7" s="6" t="s">
        <v>185</v>
      </c>
      <c r="L7" s="55" t="s">
        <v>266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J7" s="120" t="s">
        <v>68</v>
      </c>
      <c r="AK7" s="119">
        <v>4</v>
      </c>
      <c r="AL7" s="119"/>
      <c r="AM7" s="120" t="s">
        <v>458</v>
      </c>
      <c r="AN7" s="119">
        <v>3</v>
      </c>
      <c r="AR7" s="12" t="s">
        <v>136</v>
      </c>
      <c r="AS7">
        <v>4</v>
      </c>
      <c r="AU7" s="12" t="s">
        <v>146</v>
      </c>
      <c r="AV7">
        <v>4</v>
      </c>
    </row>
    <row r="8" spans="1:48" ht="21">
      <c r="A8" s="6"/>
      <c r="B8" s="12" t="s">
        <v>264</v>
      </c>
      <c r="C8" s="6" t="s">
        <v>267</v>
      </c>
      <c r="D8" s="6"/>
      <c r="E8" s="6"/>
      <c r="F8" s="6"/>
      <c r="G8" s="6"/>
      <c r="H8" s="6">
        <v>6</v>
      </c>
      <c r="I8" s="6" t="s">
        <v>135</v>
      </c>
      <c r="J8" s="6"/>
      <c r="K8" s="58" t="s">
        <v>268</v>
      </c>
      <c r="L8" s="55" t="s">
        <v>269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J8" s="119"/>
      <c r="AK8" s="119"/>
      <c r="AL8" s="119"/>
      <c r="AM8" s="119"/>
      <c r="AN8" s="119"/>
    </row>
    <row r="9" spans="1:48" ht="21">
      <c r="A9" s="6"/>
      <c r="B9" s="6"/>
      <c r="C9" s="6" t="s">
        <v>90</v>
      </c>
      <c r="D9" s="6"/>
      <c r="E9" s="6"/>
      <c r="F9" s="6"/>
      <c r="G9" s="6"/>
      <c r="H9" s="6">
        <v>7</v>
      </c>
      <c r="I9" s="6" t="s">
        <v>270</v>
      </c>
      <c r="J9" s="6"/>
      <c r="K9" s="6" t="s">
        <v>271</v>
      </c>
      <c r="L9" s="55" t="s">
        <v>272</v>
      </c>
      <c r="M9" s="6"/>
      <c r="N9" s="6"/>
      <c r="O9" s="6"/>
      <c r="P9" s="6"/>
      <c r="Q9" s="6"/>
      <c r="R9" s="6"/>
      <c r="S9" s="6"/>
      <c r="T9" s="6"/>
      <c r="U9" s="6"/>
      <c r="V9" s="6"/>
      <c r="W9" s="10"/>
      <c r="X9" s="6"/>
      <c r="Y9" s="6"/>
      <c r="Z9" s="6"/>
      <c r="AA9" s="6"/>
      <c r="AJ9" s="119" t="s">
        <v>61</v>
      </c>
      <c r="AK9" s="119"/>
      <c r="AL9" s="119"/>
      <c r="AM9" s="119" t="s">
        <v>62</v>
      </c>
      <c r="AN9" s="119"/>
      <c r="AR9" t="s">
        <v>439</v>
      </c>
      <c r="AU9" t="s">
        <v>440</v>
      </c>
    </row>
    <row r="10" spans="1:48" ht="21">
      <c r="A10" s="6"/>
      <c r="B10" s="6"/>
      <c r="C10" s="6"/>
      <c r="D10" s="6"/>
      <c r="E10" s="6"/>
      <c r="F10" s="6"/>
      <c r="G10" s="6"/>
      <c r="H10" s="6">
        <v>8</v>
      </c>
      <c r="I10" s="6" t="s">
        <v>273</v>
      </c>
      <c r="J10" s="6"/>
      <c r="K10" s="6" t="s">
        <v>274</v>
      </c>
      <c r="L10" s="55" t="s">
        <v>275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J10" s="120" t="s">
        <v>135</v>
      </c>
      <c r="AK10" s="119">
        <v>18</v>
      </c>
      <c r="AL10" s="119"/>
      <c r="AM10" s="120" t="s">
        <v>260</v>
      </c>
      <c r="AN10" s="119">
        <v>20</v>
      </c>
      <c r="AR10" s="12" t="s">
        <v>16</v>
      </c>
      <c r="AS10">
        <v>20</v>
      </c>
      <c r="AU10" s="54" t="s">
        <v>370</v>
      </c>
      <c r="AV10">
        <v>21</v>
      </c>
    </row>
    <row r="11" spans="1:48" ht="21">
      <c r="A11" s="6">
        <v>3</v>
      </c>
      <c r="B11" s="6" t="s">
        <v>260</v>
      </c>
      <c r="C11" s="6" t="s">
        <v>125</v>
      </c>
      <c r="D11" s="6"/>
      <c r="E11" s="6"/>
      <c r="F11" s="6">
        <v>5</v>
      </c>
      <c r="G11" s="6"/>
      <c r="H11" s="6">
        <v>9</v>
      </c>
      <c r="I11" s="6" t="s">
        <v>276</v>
      </c>
      <c r="J11" s="6"/>
      <c r="K11" s="6" t="s">
        <v>277</v>
      </c>
      <c r="L11" s="55" t="s">
        <v>278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J11" s="120" t="s">
        <v>459</v>
      </c>
      <c r="AK11" s="119">
        <v>16</v>
      </c>
      <c r="AL11" s="119"/>
      <c r="AM11" s="120" t="s">
        <v>285</v>
      </c>
      <c r="AN11" s="119">
        <v>19</v>
      </c>
      <c r="AR11" s="12" t="s">
        <v>144</v>
      </c>
      <c r="AS11">
        <v>18</v>
      </c>
      <c r="AU11" s="12" t="s">
        <v>68</v>
      </c>
      <c r="AV11">
        <v>17</v>
      </c>
    </row>
    <row r="12" spans="1:48" ht="21">
      <c r="A12" s="6"/>
      <c r="B12" s="6" t="s">
        <v>125</v>
      </c>
      <c r="C12" s="6" t="s">
        <v>279</v>
      </c>
      <c r="D12" s="6"/>
      <c r="E12" s="6"/>
      <c r="F12" s="6"/>
      <c r="G12" s="6"/>
      <c r="H12" s="6">
        <v>10</v>
      </c>
      <c r="I12" s="6" t="s">
        <v>67</v>
      </c>
      <c r="J12" s="6"/>
      <c r="K12" s="6" t="s">
        <v>280</v>
      </c>
      <c r="L12" s="55" t="s">
        <v>281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J12" s="120" t="s">
        <v>102</v>
      </c>
      <c r="AK12" s="119">
        <v>13</v>
      </c>
      <c r="AL12" s="119"/>
      <c r="AM12" s="120" t="s">
        <v>203</v>
      </c>
      <c r="AN12" s="119">
        <v>15</v>
      </c>
      <c r="AR12" s="12" t="s">
        <v>56</v>
      </c>
      <c r="AS12">
        <v>13</v>
      </c>
      <c r="AU12" s="12" t="s">
        <v>52</v>
      </c>
      <c r="AV12">
        <v>12</v>
      </c>
    </row>
    <row r="13" spans="1:48" ht="21">
      <c r="A13" s="6"/>
      <c r="B13" s="6"/>
      <c r="C13" s="6" t="s">
        <v>282</v>
      </c>
      <c r="D13" s="6"/>
      <c r="E13" s="6"/>
      <c r="F13" s="6"/>
      <c r="G13" s="6"/>
      <c r="H13" s="6">
        <v>11</v>
      </c>
      <c r="I13" s="6" t="s">
        <v>52</v>
      </c>
      <c r="J13" s="6"/>
      <c r="K13" s="6" t="s">
        <v>283</v>
      </c>
      <c r="L13" s="55" t="s">
        <v>284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J13" s="120" t="s">
        <v>52</v>
      </c>
      <c r="AK13" s="119">
        <v>9</v>
      </c>
      <c r="AL13" s="119"/>
      <c r="AM13" s="120" t="s">
        <v>67</v>
      </c>
      <c r="AN13" s="119">
        <v>1</v>
      </c>
      <c r="AR13" s="54" t="s">
        <v>285</v>
      </c>
      <c r="AS13">
        <v>5</v>
      </c>
      <c r="AU13" s="12" t="s">
        <v>67</v>
      </c>
      <c r="AV13">
        <v>7</v>
      </c>
    </row>
    <row r="14" spans="1:48">
      <c r="A14" s="6"/>
      <c r="B14" s="6"/>
      <c r="C14" s="6"/>
      <c r="D14" s="6"/>
      <c r="E14" s="6"/>
      <c r="F14" s="6"/>
      <c r="G14" s="6"/>
      <c r="H14" s="6">
        <v>12</v>
      </c>
      <c r="I14" s="6" t="s">
        <v>285</v>
      </c>
      <c r="J14" s="6"/>
      <c r="K14" s="6" t="s">
        <v>286</v>
      </c>
      <c r="L14" s="55" t="s">
        <v>287</v>
      </c>
      <c r="M14" s="6"/>
      <c r="N14" s="6"/>
      <c r="O14" s="6" t="s">
        <v>288</v>
      </c>
      <c r="P14" s="6"/>
      <c r="Q14" s="6" t="s">
        <v>289</v>
      </c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48">
      <c r="A15" s="6">
        <v>4</v>
      </c>
      <c r="B15" s="6" t="s">
        <v>262</v>
      </c>
      <c r="C15" s="6" t="s">
        <v>113</v>
      </c>
      <c r="D15" s="6"/>
      <c r="E15" s="6"/>
      <c r="F15" s="6">
        <v>3</v>
      </c>
      <c r="G15" s="6"/>
      <c r="H15" s="6">
        <v>13</v>
      </c>
      <c r="I15" s="12" t="s">
        <v>143</v>
      </c>
      <c r="J15" s="6"/>
      <c r="K15" s="6" t="s">
        <v>290</v>
      </c>
      <c r="L15" s="55" t="s">
        <v>291</v>
      </c>
      <c r="M15" s="6"/>
      <c r="N15" s="6"/>
      <c r="O15" s="6" t="s">
        <v>144</v>
      </c>
      <c r="P15" s="6"/>
      <c r="Q15" s="6" t="s">
        <v>270</v>
      </c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48">
      <c r="A16" s="6"/>
      <c r="B16" s="6" t="s">
        <v>113</v>
      </c>
      <c r="C16" s="6" t="s">
        <v>131</v>
      </c>
      <c r="D16" s="6"/>
      <c r="E16" s="6"/>
      <c r="F16" s="6"/>
      <c r="G16" s="6"/>
      <c r="H16" s="6">
        <v>14</v>
      </c>
      <c r="I16" s="117" t="s">
        <v>292</v>
      </c>
      <c r="J16" s="6"/>
      <c r="K16" s="6" t="s">
        <v>110</v>
      </c>
      <c r="L16" s="55" t="s">
        <v>293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>
      <c r="A17" s="6"/>
      <c r="B17" s="6"/>
      <c r="C17" s="6" t="s">
        <v>294</v>
      </c>
      <c r="D17" s="6"/>
      <c r="E17" s="6"/>
      <c r="F17" s="6"/>
      <c r="G17" s="6"/>
      <c r="H17" s="6">
        <v>15</v>
      </c>
      <c r="I17" s="6" t="s">
        <v>102</v>
      </c>
      <c r="J17" s="6"/>
      <c r="K17" s="6" t="s">
        <v>295</v>
      </c>
      <c r="L17" s="55" t="s">
        <v>296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>
      <c r="A18" s="6"/>
      <c r="B18" s="6"/>
      <c r="C18" s="15"/>
      <c r="D18" s="6"/>
      <c r="E18" s="6"/>
      <c r="F18" s="6"/>
      <c r="G18" s="6"/>
      <c r="H18" s="6">
        <v>16</v>
      </c>
      <c r="I18" s="12" t="s">
        <v>68</v>
      </c>
      <c r="J18" s="6"/>
      <c r="K18" s="6" t="s">
        <v>297</v>
      </c>
      <c r="L18" s="55" t="s">
        <v>298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10"/>
      <c r="X18" s="6"/>
      <c r="Y18" s="6"/>
      <c r="Z18" s="6"/>
      <c r="AA18" s="6"/>
    </row>
    <row r="19" spans="1:27">
      <c r="A19" s="6">
        <v>5</v>
      </c>
      <c r="B19" s="6" t="s">
        <v>299</v>
      </c>
      <c r="C19" s="6" t="s">
        <v>300</v>
      </c>
      <c r="D19" s="6" t="s">
        <v>16</v>
      </c>
      <c r="E19" s="6"/>
      <c r="F19" s="6">
        <v>16</v>
      </c>
      <c r="G19" s="6"/>
      <c r="H19" s="6"/>
      <c r="I19" s="6"/>
      <c r="J19" s="6"/>
      <c r="K19" s="6"/>
      <c r="L19" s="6" t="s">
        <v>105</v>
      </c>
      <c r="M19" s="6"/>
      <c r="N19" s="6" t="s">
        <v>301</v>
      </c>
      <c r="O19" s="6" t="s">
        <v>302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>
      <c r="A20" s="6"/>
      <c r="B20" s="6" t="s">
        <v>300</v>
      </c>
      <c r="C20" s="6" t="s">
        <v>303</v>
      </c>
      <c r="D20" s="6" t="s">
        <v>304</v>
      </c>
      <c r="E20" s="6"/>
      <c r="F20" s="6"/>
      <c r="G20" s="6"/>
      <c r="H20" s="6"/>
      <c r="I20" s="6"/>
      <c r="J20" s="6"/>
      <c r="K20" s="6"/>
      <c r="L20" s="6" t="s">
        <v>305</v>
      </c>
      <c r="M20" s="6"/>
      <c r="N20" s="6" t="s">
        <v>306</v>
      </c>
      <c r="O20" s="6" t="s">
        <v>307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>
      <c r="A21" s="6"/>
      <c r="B21" s="6"/>
      <c r="C21" s="6" t="s">
        <v>185</v>
      </c>
      <c r="D21" s="6" t="s">
        <v>29</v>
      </c>
      <c r="E21" s="6"/>
      <c r="F21" s="6"/>
      <c r="G21" s="6"/>
      <c r="H21" s="6"/>
      <c r="I21" s="6"/>
      <c r="J21" s="6"/>
      <c r="K21" s="6"/>
      <c r="L21" s="6"/>
      <c r="M21" s="6"/>
      <c r="N21" s="6" t="s">
        <v>308</v>
      </c>
      <c r="O21" s="6" t="s">
        <v>308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 t="s">
        <v>309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 t="s">
        <v>310</v>
      </c>
      <c r="O23" s="6" t="s">
        <v>311</v>
      </c>
      <c r="P23" s="6"/>
      <c r="Q23" s="6"/>
      <c r="R23" s="6"/>
      <c r="S23" s="6"/>
      <c r="T23" s="6"/>
      <c r="U23" s="6"/>
      <c r="V23" s="6"/>
      <c r="W23" s="10"/>
      <c r="X23" s="6"/>
      <c r="Y23" s="6"/>
      <c r="Z23" s="6"/>
      <c r="AA23" s="6"/>
    </row>
    <row r="24" spans="1:27" ht="16.5">
      <c r="A24" s="6">
        <v>6</v>
      </c>
      <c r="B24" s="6" t="s">
        <v>135</v>
      </c>
      <c r="C24" s="14" t="s">
        <v>268</v>
      </c>
      <c r="D24" s="6"/>
      <c r="E24" s="6"/>
      <c r="F24" s="6">
        <v>8</v>
      </c>
      <c r="G24" s="6"/>
      <c r="H24" s="6"/>
      <c r="I24" s="6"/>
      <c r="J24" s="6"/>
      <c r="K24" s="6"/>
      <c r="L24" s="11" t="s">
        <v>146</v>
      </c>
      <c r="M24" s="6"/>
      <c r="N24" s="11" t="s">
        <v>312</v>
      </c>
      <c r="O24" s="6" t="s">
        <v>313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6.5">
      <c r="A25" s="6"/>
      <c r="B25" s="14" t="s">
        <v>268</v>
      </c>
      <c r="C25" s="6" t="s">
        <v>314</v>
      </c>
      <c r="D25" s="6"/>
      <c r="E25" s="6"/>
      <c r="F25" s="6"/>
      <c r="G25" s="6"/>
      <c r="H25" s="6"/>
      <c r="I25" s="6"/>
      <c r="J25" s="6"/>
      <c r="K25" s="6"/>
      <c r="L25" s="11" t="s">
        <v>90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>
      <c r="A26" s="6"/>
      <c r="B26" s="6"/>
      <c r="C26" s="6" t="s">
        <v>315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>
      <c r="A28" s="6">
        <v>7</v>
      </c>
      <c r="B28" s="6" t="s">
        <v>270</v>
      </c>
      <c r="C28" s="6" t="s">
        <v>316</v>
      </c>
      <c r="D28" s="6"/>
      <c r="E28" s="6"/>
      <c r="F28" s="6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0"/>
      <c r="V28" s="6"/>
      <c r="W28" s="6"/>
      <c r="X28" s="6"/>
      <c r="Y28" s="6"/>
      <c r="Z28" s="6"/>
      <c r="AA28" s="6"/>
    </row>
    <row r="29" spans="1:27">
      <c r="A29" s="6"/>
      <c r="B29" s="6" t="s">
        <v>316</v>
      </c>
      <c r="C29" s="6" t="s">
        <v>317</v>
      </c>
      <c r="D29" s="6"/>
      <c r="E29" s="6"/>
      <c r="F29" s="6"/>
      <c r="G29" s="6"/>
      <c r="H29" s="6"/>
      <c r="I29" s="6"/>
      <c r="J29" s="6"/>
      <c r="K29" s="6"/>
      <c r="L29" s="6" t="s">
        <v>39</v>
      </c>
      <c r="M29" s="6"/>
      <c r="N29" s="6"/>
      <c r="O29" s="6"/>
      <c r="P29" s="6"/>
      <c r="Q29" s="6"/>
      <c r="R29" s="6"/>
      <c r="S29" s="6"/>
      <c r="T29" s="6"/>
      <c r="U29" s="10"/>
      <c r="V29" s="6"/>
      <c r="W29" s="6"/>
      <c r="X29" s="6"/>
      <c r="Y29" s="6"/>
      <c r="Z29" s="6"/>
      <c r="AA29" s="6"/>
    </row>
    <row r="30" spans="1:27" ht="16.5">
      <c r="A30" s="6"/>
      <c r="B30" s="6"/>
      <c r="C30" s="6" t="s">
        <v>318</v>
      </c>
      <c r="D30" s="6"/>
      <c r="E30" s="6"/>
      <c r="F30" s="6"/>
      <c r="G30" s="6"/>
      <c r="H30" s="6"/>
      <c r="I30" s="6"/>
      <c r="J30" s="6"/>
      <c r="K30" s="6"/>
      <c r="L30" s="14" t="s">
        <v>319</v>
      </c>
      <c r="M30" s="6"/>
      <c r="N30" s="6"/>
      <c r="O30" s="6"/>
      <c r="P30" s="6"/>
      <c r="Q30" s="6"/>
      <c r="R30" s="6"/>
      <c r="S30" s="6"/>
      <c r="T30" s="6"/>
      <c r="U30" s="10"/>
      <c r="V30" s="6"/>
      <c r="W30" s="6"/>
      <c r="X30" s="6"/>
      <c r="Y30" s="6"/>
      <c r="Z30" s="6"/>
      <c r="AA30" s="6"/>
    </row>
    <row r="31" spans="1:27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10"/>
      <c r="V31" s="6"/>
      <c r="W31" s="6"/>
      <c r="X31" s="6"/>
      <c r="Y31" s="6"/>
      <c r="Z31" s="6"/>
      <c r="AA31" s="6"/>
    </row>
    <row r="32" spans="1:27">
      <c r="A32" s="6">
        <v>8</v>
      </c>
      <c r="B32" s="6" t="s">
        <v>273</v>
      </c>
      <c r="C32" s="6" t="s">
        <v>274</v>
      </c>
      <c r="D32" s="6"/>
      <c r="E32" s="6"/>
      <c r="F32" s="6">
        <v>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>
      <c r="A33" s="6"/>
      <c r="B33" s="6" t="s">
        <v>274</v>
      </c>
      <c r="C33" s="6" t="s">
        <v>320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>
      <c r="A34" s="6"/>
      <c r="B34" s="6"/>
      <c r="C34" s="6" t="s">
        <v>321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>
      <c r="A36" s="6">
        <v>9</v>
      </c>
      <c r="B36" s="6" t="s">
        <v>322</v>
      </c>
      <c r="C36" s="6" t="s">
        <v>323</v>
      </c>
      <c r="D36" s="6"/>
      <c r="E36" s="6"/>
      <c r="F36" s="6">
        <v>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>
      <c r="A37" s="6"/>
      <c r="B37" s="6" t="s">
        <v>323</v>
      </c>
      <c r="C37" s="6" t="s">
        <v>324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0"/>
      <c r="V37" s="6"/>
      <c r="W37" s="6"/>
      <c r="X37" s="6"/>
      <c r="Y37" s="6"/>
      <c r="Z37" s="6"/>
      <c r="AA37" s="6"/>
    </row>
    <row r="38" spans="1:27">
      <c r="A38" s="6"/>
      <c r="B38" s="6"/>
      <c r="C38" s="6" t="s">
        <v>325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>
      <c r="A40" s="6">
        <v>10</v>
      </c>
      <c r="B40" s="6" t="s">
        <v>67</v>
      </c>
      <c r="C40" s="6" t="s">
        <v>280</v>
      </c>
      <c r="D40" s="6"/>
      <c r="E40" s="6"/>
      <c r="F40" s="6">
        <v>12</v>
      </c>
      <c r="G40" s="6"/>
      <c r="H40" s="6"/>
      <c r="I40" s="6"/>
      <c r="J40" s="6"/>
      <c r="K40" s="6"/>
      <c r="L40" s="6" t="s">
        <v>31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6.5">
      <c r="A41" s="6"/>
      <c r="B41" s="6" t="s">
        <v>280</v>
      </c>
      <c r="C41" s="6" t="s">
        <v>326</v>
      </c>
      <c r="D41" s="6"/>
      <c r="E41" s="6"/>
      <c r="F41" s="6"/>
      <c r="G41" s="6"/>
      <c r="H41" s="6"/>
      <c r="I41" s="6"/>
      <c r="J41" s="6"/>
      <c r="K41" s="6"/>
      <c r="L41" s="14" t="s">
        <v>327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>
      <c r="A42" s="6"/>
      <c r="B42" s="6"/>
      <c r="C42" s="6" t="s">
        <v>86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>
      <c r="A44" s="6">
        <v>11</v>
      </c>
      <c r="B44" s="6" t="s">
        <v>52</v>
      </c>
      <c r="C44" s="6"/>
      <c r="D44" s="6"/>
      <c r="E44" s="6"/>
      <c r="F44" s="6">
        <v>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>
      <c r="A45" s="6"/>
      <c r="B45" s="6" t="s">
        <v>283</v>
      </c>
      <c r="C45" s="6" t="s">
        <v>283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>
      <c r="A46" s="6"/>
      <c r="B46" s="6"/>
      <c r="C46" s="6" t="s">
        <v>328</v>
      </c>
      <c r="D46" s="6"/>
      <c r="E46" s="6"/>
      <c r="F46" s="6"/>
      <c r="G46" s="6"/>
      <c r="H46" s="6"/>
      <c r="I46" s="6"/>
      <c r="J46" s="6"/>
      <c r="K46" s="6"/>
      <c r="L46" s="6" t="s">
        <v>52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6.5">
      <c r="A47" s="6"/>
      <c r="B47" s="6"/>
      <c r="C47" s="6" t="s">
        <v>329</v>
      </c>
      <c r="D47" s="6"/>
      <c r="E47" s="6"/>
      <c r="F47" s="6"/>
      <c r="G47" s="6"/>
      <c r="H47" s="6"/>
      <c r="I47" s="6"/>
      <c r="J47" s="6"/>
      <c r="K47" s="6"/>
      <c r="L47" s="14" t="s">
        <v>283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>
      <c r="A48" s="15"/>
      <c r="B48" s="15"/>
      <c r="C48" s="1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>
      <c r="A49" s="6">
        <v>12</v>
      </c>
      <c r="B49" s="6" t="s">
        <v>285</v>
      </c>
      <c r="C49" s="6" t="s">
        <v>286</v>
      </c>
      <c r="D49" s="6"/>
      <c r="E49" s="6"/>
      <c r="F49" s="6">
        <v>14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>
      <c r="A50" s="6"/>
      <c r="B50" s="6" t="s">
        <v>286</v>
      </c>
      <c r="C50" s="6" t="s">
        <v>330</v>
      </c>
      <c r="D50" s="6"/>
      <c r="E50" s="6"/>
      <c r="F50" s="6"/>
      <c r="G50" s="6"/>
      <c r="H50" s="6"/>
      <c r="I50" s="6"/>
      <c r="J50" s="6"/>
      <c r="K50" s="6"/>
      <c r="L50" s="11" t="s">
        <v>331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>
      <c r="A51" s="6"/>
      <c r="B51" s="6"/>
      <c r="C51" s="6" t="s">
        <v>106</v>
      </c>
      <c r="D51" s="6"/>
      <c r="E51" s="6"/>
      <c r="F51" s="6"/>
      <c r="G51" s="6"/>
      <c r="H51" s="6"/>
      <c r="I51" s="6"/>
      <c r="J51" s="6"/>
      <c r="K51" s="6"/>
      <c r="L51" s="11" t="s">
        <v>332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>
      <c r="A52" s="6"/>
      <c r="B52" s="6"/>
      <c r="C52" s="1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>
      <c r="A53" s="6">
        <v>13</v>
      </c>
      <c r="B53" s="12" t="s">
        <v>143</v>
      </c>
      <c r="C53" s="12" t="s">
        <v>290</v>
      </c>
      <c r="D53" s="6"/>
      <c r="E53" s="6"/>
      <c r="F53" s="6">
        <v>10</v>
      </c>
      <c r="G53" s="6"/>
      <c r="H53" s="6"/>
      <c r="I53" s="6"/>
      <c r="J53" s="6"/>
      <c r="K53" s="6"/>
      <c r="L53" s="6" t="s">
        <v>333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>
      <c r="A54" s="6"/>
      <c r="B54" s="12" t="s">
        <v>290</v>
      </c>
      <c r="C54" s="6" t="s">
        <v>334</v>
      </c>
      <c r="D54" s="6"/>
      <c r="E54" s="6"/>
      <c r="F54" s="6"/>
      <c r="G54" s="6"/>
      <c r="H54" s="6"/>
      <c r="I54" s="6"/>
      <c r="J54" s="6"/>
      <c r="K54" s="6"/>
      <c r="L54" s="6" t="s">
        <v>335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>
      <c r="A55" s="6"/>
      <c r="B55" s="6"/>
      <c r="C55" s="6" t="s">
        <v>336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 t="s">
        <v>337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>
      <c r="A57" s="6">
        <v>14</v>
      </c>
      <c r="B57" s="117" t="s">
        <v>338</v>
      </c>
      <c r="C57" s="6" t="s">
        <v>460</v>
      </c>
      <c r="D57" s="6"/>
      <c r="E57" s="6"/>
      <c r="F57" s="6">
        <v>15</v>
      </c>
      <c r="G57" s="6"/>
      <c r="H57" s="6"/>
      <c r="I57" s="6"/>
      <c r="J57" s="6"/>
      <c r="K57" s="6"/>
      <c r="L57" s="6" t="s">
        <v>339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>
      <c r="A58" s="6"/>
      <c r="B58" s="6" t="s">
        <v>460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>
      <c r="A61" s="6">
        <v>15</v>
      </c>
      <c r="B61" s="6" t="s">
        <v>340</v>
      </c>
      <c r="C61" s="6" t="s">
        <v>295</v>
      </c>
      <c r="D61" s="6"/>
      <c r="E61" s="6"/>
      <c r="F61" s="6">
        <v>11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>
      <c r="A62" s="6"/>
      <c r="B62" s="6"/>
      <c r="C62" s="6" t="s">
        <v>341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>
      <c r="A65" s="6">
        <v>16</v>
      </c>
      <c r="B65" s="12" t="s">
        <v>68</v>
      </c>
      <c r="C65" s="12" t="s">
        <v>342</v>
      </c>
      <c r="D65" s="6"/>
      <c r="E65" s="6"/>
      <c r="F65" s="6">
        <v>13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>
      <c r="A66" s="6"/>
      <c r="B66" s="12" t="s">
        <v>342</v>
      </c>
      <c r="C66" s="6" t="s">
        <v>98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>
      <c r="A67" s="6"/>
      <c r="B67" s="6"/>
      <c r="C67" s="6" t="s">
        <v>343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>
      <c r="A72" s="6"/>
      <c r="B72" s="6" t="s">
        <v>344</v>
      </c>
      <c r="C72" s="6" t="s">
        <v>345</v>
      </c>
      <c r="D72" s="6"/>
      <c r="E72" s="6" t="s">
        <v>346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>
      <c r="A73" s="6">
        <v>1</v>
      </c>
      <c r="B73" s="6" t="s">
        <v>347</v>
      </c>
      <c r="C73" s="6"/>
      <c r="D73" s="6"/>
      <c r="E73" s="6" t="s">
        <v>348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>
      <c r="A74" s="6">
        <v>2</v>
      </c>
      <c r="B74" s="6" t="s">
        <v>322</v>
      </c>
      <c r="C74" s="6"/>
      <c r="D74" s="6"/>
      <c r="E74" s="6" t="s">
        <v>31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>
      <c r="A75" s="6">
        <v>3</v>
      </c>
      <c r="B75" s="6" t="s">
        <v>270</v>
      </c>
      <c r="C75" s="6" t="s">
        <v>349</v>
      </c>
      <c r="D75" s="11">
        <v>10</v>
      </c>
      <c r="E75" s="6" t="s">
        <v>39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>
      <c r="A76" s="6">
        <v>4</v>
      </c>
      <c r="B76" s="6" t="s">
        <v>351</v>
      </c>
      <c r="C76" s="6" t="s">
        <v>352</v>
      </c>
      <c r="D76" s="6">
        <v>11</v>
      </c>
      <c r="E76" s="6" t="s">
        <v>67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>
      <c r="A77" s="6">
        <v>5</v>
      </c>
      <c r="B77" s="6" t="s">
        <v>260</v>
      </c>
      <c r="C77" s="6"/>
      <c r="D77" s="6"/>
      <c r="E77" s="6" t="s">
        <v>357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>
      <c r="A78" s="6">
        <v>6</v>
      </c>
      <c r="B78" s="6" t="s">
        <v>49</v>
      </c>
      <c r="C78" s="6" t="s">
        <v>69</v>
      </c>
      <c r="D78" s="6">
        <v>13</v>
      </c>
      <c r="E78" s="6" t="s">
        <v>332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>
      <c r="A79" s="6">
        <v>7</v>
      </c>
      <c r="B79" s="6" t="s">
        <v>362</v>
      </c>
      <c r="C79" s="6" t="s">
        <v>363</v>
      </c>
      <c r="D79" s="6">
        <v>14</v>
      </c>
      <c r="E79" s="6" t="s">
        <v>364</v>
      </c>
      <c r="F79" s="6"/>
      <c r="G79" s="6"/>
      <c r="H79" s="6"/>
      <c r="I79" s="6"/>
      <c r="J79" s="6"/>
      <c r="K79" s="6"/>
      <c r="L79" s="1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>
      <c r="A80" s="6">
        <v>8</v>
      </c>
      <c r="B80" s="6" t="s">
        <v>368</v>
      </c>
      <c r="C80" s="6" t="s">
        <v>52</v>
      </c>
      <c r="D80" s="6">
        <v>15</v>
      </c>
      <c r="E80" s="6"/>
      <c r="F80" s="6"/>
      <c r="G80" s="6"/>
      <c r="H80" s="6"/>
      <c r="I80" s="6"/>
      <c r="J80" s="6"/>
      <c r="K80" s="6"/>
      <c r="L80" s="1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>
      <c r="A81" s="6">
        <v>9</v>
      </c>
      <c r="B81" s="6" t="s">
        <v>144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15" t="s">
        <v>52</v>
      </c>
      <c r="E83" s="6"/>
      <c r="F83" s="11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15" t="s">
        <v>331</v>
      </c>
      <c r="E84" s="6"/>
      <c r="F84" s="11"/>
      <c r="G84" s="6"/>
      <c r="H84" s="6"/>
      <c r="I84" s="6"/>
      <c r="J84" s="6"/>
      <c r="K84" s="6"/>
      <c r="L84" s="6"/>
      <c r="M84" s="16"/>
      <c r="N84" s="1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15" t="s">
        <v>31</v>
      </c>
      <c r="E85" s="6"/>
      <c r="F85" s="11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15" t="s">
        <v>33</v>
      </c>
      <c r="E86" s="6"/>
      <c r="F86" s="11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15" t="s">
        <v>67</v>
      </c>
      <c r="E87" s="6"/>
      <c r="F87" s="11"/>
      <c r="G87" s="1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15" t="s">
        <v>69</v>
      </c>
      <c r="E88" s="6"/>
      <c r="F88" s="6"/>
      <c r="G88" s="1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>
      <c r="A89" s="6"/>
      <c r="B89" s="6"/>
      <c r="C89" s="6"/>
      <c r="D89" s="6"/>
      <c r="E89" s="6"/>
      <c r="F89" s="6"/>
      <c r="G89" s="1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>
      <c r="A90" s="6"/>
      <c r="B90" s="6"/>
      <c r="C90" s="6"/>
      <c r="D90" s="6"/>
      <c r="E90" s="6"/>
      <c r="F90" s="6"/>
      <c r="G90" s="1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>
      <c r="A91" s="6"/>
      <c r="B91" s="6"/>
      <c r="C91" s="6">
        <v>5</v>
      </c>
      <c r="D91" s="6">
        <v>7</v>
      </c>
      <c r="E91" s="6"/>
      <c r="F91" s="6"/>
      <c r="G91" s="11"/>
      <c r="H91" s="6"/>
      <c r="I91" s="6"/>
      <c r="J91" t="s">
        <v>461</v>
      </c>
      <c r="O91" t="s">
        <v>462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>
      <c r="J92" t="s">
        <v>59</v>
      </c>
      <c r="K92" t="s">
        <v>65</v>
      </c>
      <c r="N92" t="s">
        <v>463</v>
      </c>
      <c r="P92" t="s">
        <v>65</v>
      </c>
    </row>
    <row r="93" spans="1:27">
      <c r="J93" s="12" t="s">
        <v>270</v>
      </c>
      <c r="K93">
        <v>30</v>
      </c>
      <c r="N93">
        <v>1</v>
      </c>
      <c r="O93" s="12" t="s">
        <v>256</v>
      </c>
      <c r="P93">
        <v>28</v>
      </c>
    </row>
    <row r="94" spans="1:27">
      <c r="J94" s="12" t="s">
        <v>276</v>
      </c>
      <c r="K94">
        <v>15</v>
      </c>
      <c r="N94">
        <v>1</v>
      </c>
      <c r="O94" s="12" t="s">
        <v>270</v>
      </c>
      <c r="P94">
        <v>13</v>
      </c>
    </row>
    <row r="95" spans="1:27">
      <c r="J95" s="12" t="s">
        <v>464</v>
      </c>
      <c r="K95">
        <v>10</v>
      </c>
      <c r="N95">
        <v>1</v>
      </c>
      <c r="O95" s="12" t="s">
        <v>135</v>
      </c>
      <c r="P95">
        <v>12</v>
      </c>
    </row>
    <row r="96" spans="1:27">
      <c r="J96" s="12" t="s">
        <v>68</v>
      </c>
      <c r="K96">
        <v>4</v>
      </c>
      <c r="N96">
        <v>2</v>
      </c>
      <c r="O96" s="12" t="s">
        <v>260</v>
      </c>
      <c r="P96">
        <v>4</v>
      </c>
    </row>
    <row r="98" spans="10:16">
      <c r="J98" t="s">
        <v>60</v>
      </c>
    </row>
    <row r="99" spans="10:16">
      <c r="J99" s="12" t="s">
        <v>256</v>
      </c>
      <c r="K99">
        <v>24</v>
      </c>
      <c r="N99">
        <v>1</v>
      </c>
      <c r="O99" s="12" t="s">
        <v>273</v>
      </c>
      <c r="P99">
        <v>20</v>
      </c>
    </row>
    <row r="100" spans="10:16">
      <c r="J100" s="12" t="s">
        <v>273</v>
      </c>
      <c r="K100">
        <v>15</v>
      </c>
      <c r="N100">
        <v>2</v>
      </c>
      <c r="O100" s="12" t="s">
        <v>262</v>
      </c>
      <c r="P100">
        <v>18</v>
      </c>
    </row>
    <row r="101" spans="10:16">
      <c r="J101" s="12" t="s">
        <v>143</v>
      </c>
      <c r="K101">
        <v>13</v>
      </c>
      <c r="N101">
        <v>2</v>
      </c>
      <c r="O101" s="12" t="s">
        <v>276</v>
      </c>
      <c r="P101">
        <v>13</v>
      </c>
    </row>
    <row r="102" spans="10:16">
      <c r="J102" s="12" t="s">
        <v>265</v>
      </c>
      <c r="K102">
        <v>3</v>
      </c>
      <c r="N102">
        <v>3</v>
      </c>
      <c r="O102" s="54" t="s">
        <v>285</v>
      </c>
      <c r="P102">
        <v>5</v>
      </c>
    </row>
    <row r="104" spans="10:16">
      <c r="J104" t="s">
        <v>61</v>
      </c>
    </row>
    <row r="105" spans="10:16">
      <c r="J105" s="12" t="s">
        <v>135</v>
      </c>
      <c r="K105">
        <v>18</v>
      </c>
      <c r="N105">
        <v>2</v>
      </c>
      <c r="O105" s="12" t="s">
        <v>143</v>
      </c>
      <c r="P105">
        <v>21</v>
      </c>
    </row>
    <row r="106" spans="10:16">
      <c r="J106" s="12" t="s">
        <v>262</v>
      </c>
      <c r="K106">
        <v>16</v>
      </c>
      <c r="N106">
        <v>3</v>
      </c>
      <c r="O106" s="12" t="s">
        <v>203</v>
      </c>
      <c r="P106">
        <v>16</v>
      </c>
    </row>
    <row r="107" spans="10:16">
      <c r="J107" s="12" t="s">
        <v>102</v>
      </c>
      <c r="K107">
        <v>13</v>
      </c>
      <c r="N107">
        <v>3</v>
      </c>
      <c r="O107" s="12" t="s">
        <v>102</v>
      </c>
      <c r="P107">
        <v>14</v>
      </c>
    </row>
    <row r="108" spans="10:16">
      <c r="J108" s="12" t="s">
        <v>52</v>
      </c>
      <c r="K108">
        <v>9</v>
      </c>
      <c r="N108">
        <v>4</v>
      </c>
      <c r="O108" s="12" t="s">
        <v>464</v>
      </c>
      <c r="P108">
        <v>4</v>
      </c>
    </row>
    <row r="110" spans="10:16">
      <c r="J110" t="s">
        <v>62</v>
      </c>
    </row>
    <row r="111" spans="10:16">
      <c r="J111" s="12" t="s">
        <v>260</v>
      </c>
      <c r="K111">
        <v>20</v>
      </c>
      <c r="N111">
        <v>3</v>
      </c>
      <c r="O111" s="54" t="s">
        <v>299</v>
      </c>
      <c r="P111">
        <v>21</v>
      </c>
    </row>
    <row r="112" spans="10:16">
      <c r="J112" s="12" t="s">
        <v>285</v>
      </c>
      <c r="K112">
        <v>19</v>
      </c>
      <c r="N112">
        <v>4</v>
      </c>
      <c r="O112" s="12" t="s">
        <v>68</v>
      </c>
      <c r="P112">
        <v>17</v>
      </c>
    </row>
    <row r="113" spans="10:16">
      <c r="J113" s="12" t="s">
        <v>203</v>
      </c>
      <c r="K113">
        <v>15</v>
      </c>
      <c r="N113">
        <v>4</v>
      </c>
      <c r="O113" s="12" t="s">
        <v>52</v>
      </c>
      <c r="P113">
        <v>12</v>
      </c>
    </row>
    <row r="114" spans="10:16">
      <c r="J114" s="12" t="s">
        <v>67</v>
      </c>
      <c r="K114">
        <v>1</v>
      </c>
      <c r="N114">
        <v>4</v>
      </c>
      <c r="O114" s="12" t="s">
        <v>67</v>
      </c>
      <c r="P114">
        <v>7</v>
      </c>
    </row>
  </sheetData>
  <hyperlinks>
    <hyperlink ref="C1" r:id="rId1" xr:uid="{0ECEA43D-196B-45C1-80AF-A31461F41D18}"/>
    <hyperlink ref="L5" r:id="rId2" xr:uid="{6EDFEB6A-8399-4BB6-8589-48568B1092F4}"/>
    <hyperlink ref="L10" r:id="rId3" xr:uid="{6D1D1288-F86C-40C8-98A2-707C0FA91515}"/>
    <hyperlink ref="L14" r:id="rId4" xr:uid="{F720527D-9453-46D8-902C-0E43FB107955}"/>
    <hyperlink ref="L12" r:id="rId5" xr:uid="{A4E8338C-8AB7-488B-9C8F-4BA6D0F3F5C4}"/>
    <hyperlink ref="L15" r:id="rId6" xr:uid="{A43DD101-6108-4AA0-94D9-41722758CDF1}"/>
    <hyperlink ref="L6" r:id="rId7" xr:uid="{A05DE268-761C-441A-AE10-30865CFC9109}"/>
    <hyperlink ref="L3" r:id="rId8" xr:uid="{85A76AED-23EA-4B8D-80B4-3035D64E2588}"/>
    <hyperlink ref="L4" r:id="rId9" xr:uid="{DC96CCB2-549A-4CE8-AF54-CA9E659E497A}"/>
    <hyperlink ref="L11" r:id="rId10" xr:uid="{E6FD7B93-AB26-43C9-9BCB-C88A6497ACFC}"/>
    <hyperlink ref="L9" r:id="rId11" xr:uid="{0DC4E9FA-25D3-46A8-9674-CD9F821B8644}"/>
    <hyperlink ref="L17" r:id="rId12" xr:uid="{2355B681-2F1E-4E55-A0DE-A9493CCA29C4}"/>
    <hyperlink ref="L13" r:id="rId13" xr:uid="{B20B840D-2E58-41F4-A2DF-D4B80463D742}"/>
    <hyperlink ref="L18" r:id="rId14" xr:uid="{7E029D61-FF7E-42C7-B636-343008832256}"/>
    <hyperlink ref="L8" r:id="rId15" xr:uid="{6CCC7434-F22D-452B-AD64-7D4850690D0A}"/>
    <hyperlink ref="G1" r:id="rId16" display="https://onedrive.live.com/?id=5AFE89A2C195D898!sfa719d4ea39b43a0a7061f176e087e3e&amp;resid=5AFE89A2C195D898!sfa719d4ea39b43a0a7061f176e087e3e&amp;cid=5afe89a2c195d898&amp;ithint=folder&amp;redeem=aHR0cHM6Ly8xZHJ2Lm1zL2YvYy81YWZlODlhMmMxOTVkODk4L0VrNmRjZnFibzZCRHB3WWZGMjRJZmo0QmFqTUNMRHFCR2gtUkVNRFMtTGxUdmc_ZT1velRRSksmZmJjbGlkPUl3WTJ4amF3RlRyRmhsZUhSdUEyRmxiUUl4TUFBQkhYWkFkMWNlSF9najYwTXk5THFlUDVSSUtqcWlvemx4cHlIVlJUM29RN3NxZ2tsbnRSTmpKTHVlblFfYWVtX25Tdmdnb2tlTDQ5d1E2YXZ3VzJwSlE&amp;migratedtospo=true" xr:uid="{CE277694-8997-4914-A80A-3150711EE4FC}"/>
    <hyperlink ref="L16" r:id="rId17" xr:uid="{5DB7F58C-BE1E-4AAA-9A79-DB1A98965559}"/>
    <hyperlink ref="L7" r:id="rId18" xr:uid="{49E53D76-F0E7-4C31-AAFA-B932F8018C6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1FB2-8319-46B0-BC9E-F24BA503C465}">
  <dimension ref="D2:Q26"/>
  <sheetViews>
    <sheetView topLeftCell="F1" workbookViewId="0">
      <selection activeCell="L7" sqref="L7"/>
    </sheetView>
  </sheetViews>
  <sheetFormatPr defaultRowHeight="15"/>
  <cols>
    <col min="4" max="4" width="26.28515625" bestFit="1" customWidth="1"/>
    <col min="6" max="6" width="26.28515625" bestFit="1" customWidth="1"/>
    <col min="9" max="9" width="10.7109375" customWidth="1"/>
    <col min="10" max="10" width="26.28515625" bestFit="1" customWidth="1"/>
    <col min="11" max="11" width="14.140625" bestFit="1" customWidth="1"/>
    <col min="17" max="17" width="26.28515625" bestFit="1" customWidth="1"/>
  </cols>
  <sheetData>
    <row r="2" spans="4:17">
      <c r="F2" t="s">
        <v>465</v>
      </c>
      <c r="J2" t="s">
        <v>466</v>
      </c>
      <c r="Q2" t="s">
        <v>467</v>
      </c>
    </row>
    <row r="3" spans="4:17">
      <c r="F3" t="s">
        <v>133</v>
      </c>
      <c r="G3" t="s">
        <v>134</v>
      </c>
      <c r="J3" t="s">
        <v>376</v>
      </c>
      <c r="K3" t="s">
        <v>65</v>
      </c>
      <c r="L3" t="s">
        <v>66</v>
      </c>
      <c r="Q3" t="s">
        <v>468</v>
      </c>
    </row>
    <row r="4" spans="4:17">
      <c r="D4" s="20"/>
      <c r="F4" t="s">
        <v>59</v>
      </c>
      <c r="G4" t="s">
        <v>65</v>
      </c>
      <c r="H4" t="s">
        <v>66</v>
      </c>
      <c r="J4" s="12" t="s">
        <v>322</v>
      </c>
      <c r="K4">
        <v>20</v>
      </c>
      <c r="L4">
        <v>3</v>
      </c>
      <c r="M4" s="6"/>
      <c r="O4" s="20"/>
      <c r="P4">
        <v>1</v>
      </c>
      <c r="Q4" s="6" t="s">
        <v>322</v>
      </c>
    </row>
    <row r="5" spans="4:17">
      <c r="D5" s="20"/>
      <c r="F5" t="s">
        <v>262</v>
      </c>
      <c r="G5">
        <v>21</v>
      </c>
      <c r="H5">
        <v>2</v>
      </c>
      <c r="J5" s="6" t="s">
        <v>351</v>
      </c>
      <c r="K5">
        <v>17</v>
      </c>
      <c r="L5">
        <v>3</v>
      </c>
      <c r="M5" s="6"/>
      <c r="O5" s="20"/>
      <c r="P5">
        <v>2</v>
      </c>
      <c r="Q5" s="6" t="s">
        <v>351</v>
      </c>
    </row>
    <row r="6" spans="4:17">
      <c r="D6" s="20"/>
      <c r="F6" t="s">
        <v>135</v>
      </c>
      <c r="G6">
        <v>18</v>
      </c>
      <c r="H6">
        <v>1</v>
      </c>
      <c r="J6" t="s">
        <v>262</v>
      </c>
      <c r="K6">
        <v>15</v>
      </c>
      <c r="L6">
        <v>0</v>
      </c>
      <c r="M6" s="6"/>
      <c r="O6" s="20"/>
      <c r="P6">
        <v>3</v>
      </c>
      <c r="Q6" t="s">
        <v>262</v>
      </c>
    </row>
    <row r="7" spans="4:17">
      <c r="D7" s="20"/>
      <c r="F7" t="s">
        <v>469</v>
      </c>
      <c r="G7">
        <v>14</v>
      </c>
      <c r="H7">
        <v>6</v>
      </c>
      <c r="J7" s="6" t="s">
        <v>260</v>
      </c>
      <c r="K7">
        <v>4</v>
      </c>
      <c r="L7">
        <v>3</v>
      </c>
      <c r="M7" s="6"/>
      <c r="O7" s="20"/>
      <c r="P7">
        <v>4</v>
      </c>
      <c r="Q7" s="6" t="s">
        <v>347</v>
      </c>
    </row>
    <row r="8" spans="4:17">
      <c r="F8" t="s">
        <v>368</v>
      </c>
      <c r="G8">
        <v>3</v>
      </c>
      <c r="H8">
        <v>0</v>
      </c>
      <c r="J8" s="6"/>
      <c r="Q8" s="6"/>
    </row>
    <row r="9" spans="4:17">
      <c r="J9" t="s">
        <v>445</v>
      </c>
      <c r="Q9" t="s">
        <v>470</v>
      </c>
    </row>
    <row r="10" spans="4:17">
      <c r="D10" s="20"/>
      <c r="F10" t="s">
        <v>60</v>
      </c>
      <c r="J10" s="12" t="s">
        <v>347</v>
      </c>
      <c r="K10">
        <v>20</v>
      </c>
      <c r="L10">
        <v>6</v>
      </c>
      <c r="P10">
        <v>5</v>
      </c>
      <c r="Q10" s="6" t="s">
        <v>260</v>
      </c>
    </row>
    <row r="11" spans="4:17">
      <c r="D11" s="20"/>
      <c r="E11" t="s">
        <v>471</v>
      </c>
      <c r="F11" t="s">
        <v>322</v>
      </c>
      <c r="G11">
        <v>15</v>
      </c>
      <c r="H11">
        <v>5</v>
      </c>
      <c r="J11" s="6" t="s">
        <v>472</v>
      </c>
      <c r="K11">
        <v>17</v>
      </c>
      <c r="L11">
        <v>0</v>
      </c>
      <c r="Q11" s="6" t="s">
        <v>472</v>
      </c>
    </row>
    <row r="12" spans="4:17">
      <c r="D12" s="20"/>
      <c r="F12" t="s">
        <v>273</v>
      </c>
      <c r="G12">
        <v>15</v>
      </c>
      <c r="H12">
        <v>2</v>
      </c>
      <c r="J12" t="s">
        <v>135</v>
      </c>
      <c r="K12">
        <v>9</v>
      </c>
      <c r="L12">
        <v>1</v>
      </c>
      <c r="P12">
        <v>6</v>
      </c>
      <c r="Q12" t="s">
        <v>135</v>
      </c>
    </row>
    <row r="13" spans="4:17">
      <c r="D13" s="20"/>
      <c r="F13" t="s">
        <v>362</v>
      </c>
      <c r="G13">
        <v>13</v>
      </c>
      <c r="H13">
        <v>2</v>
      </c>
      <c r="J13" s="6" t="s">
        <v>273</v>
      </c>
      <c r="K13">
        <v>7</v>
      </c>
      <c r="L13">
        <v>0</v>
      </c>
      <c r="P13">
        <v>7</v>
      </c>
      <c r="Q13" s="6" t="s">
        <v>270</v>
      </c>
    </row>
    <row r="14" spans="4:17">
      <c r="F14" t="s">
        <v>473</v>
      </c>
      <c r="G14">
        <v>11</v>
      </c>
      <c r="H14">
        <v>1</v>
      </c>
      <c r="J14" s="6"/>
      <c r="Q14" s="6"/>
    </row>
    <row r="15" spans="4:17">
      <c r="J15" t="s">
        <v>438</v>
      </c>
      <c r="Q15" t="s">
        <v>474</v>
      </c>
    </row>
    <row r="16" spans="4:17">
      <c r="D16" s="20"/>
      <c r="F16" t="s">
        <v>61</v>
      </c>
      <c r="J16" s="12" t="s">
        <v>270</v>
      </c>
      <c r="K16">
        <v>23</v>
      </c>
      <c r="L16">
        <v>4</v>
      </c>
      <c r="P16">
        <v>8</v>
      </c>
      <c r="Q16" s="6" t="s">
        <v>273</v>
      </c>
    </row>
    <row r="17" spans="4:17">
      <c r="D17" s="20"/>
      <c r="F17" t="s">
        <v>260</v>
      </c>
      <c r="G17">
        <v>19</v>
      </c>
      <c r="H17">
        <v>3</v>
      </c>
      <c r="J17" s="6" t="s">
        <v>362</v>
      </c>
      <c r="K17">
        <v>14</v>
      </c>
      <c r="L17">
        <v>2</v>
      </c>
      <c r="Q17" s="6" t="s">
        <v>362</v>
      </c>
    </row>
    <row r="18" spans="4:17">
      <c r="D18" s="20"/>
      <c r="F18" t="s">
        <v>472</v>
      </c>
      <c r="G18">
        <v>17</v>
      </c>
      <c r="H18">
        <v>5</v>
      </c>
      <c r="J18" t="s">
        <v>469</v>
      </c>
      <c r="K18">
        <v>13</v>
      </c>
      <c r="L18">
        <v>4</v>
      </c>
      <c r="Q18" t="s">
        <v>469</v>
      </c>
    </row>
    <row r="19" spans="4:17">
      <c r="D19" s="20"/>
      <c r="F19" t="s">
        <v>270</v>
      </c>
      <c r="G19">
        <v>15</v>
      </c>
      <c r="H19">
        <v>3</v>
      </c>
      <c r="J19" s="6" t="s">
        <v>475</v>
      </c>
      <c r="K19">
        <v>12</v>
      </c>
      <c r="L19">
        <v>1</v>
      </c>
      <c r="Q19" s="6" t="s">
        <v>476</v>
      </c>
    </row>
    <row r="20" spans="4:17">
      <c r="F20" t="s">
        <v>68</v>
      </c>
      <c r="G20">
        <v>4</v>
      </c>
      <c r="H20">
        <v>2</v>
      </c>
      <c r="J20" s="6"/>
      <c r="Q20" s="6"/>
    </row>
    <row r="21" spans="4:17">
      <c r="J21" t="s">
        <v>477</v>
      </c>
      <c r="Q21" t="s">
        <v>478</v>
      </c>
    </row>
    <row r="22" spans="4:17">
      <c r="D22" s="20"/>
      <c r="F22" t="s">
        <v>62</v>
      </c>
      <c r="J22" s="12" t="s">
        <v>476</v>
      </c>
      <c r="K22">
        <v>23</v>
      </c>
      <c r="L22">
        <v>4</v>
      </c>
      <c r="Q22" s="6" t="s">
        <v>475</v>
      </c>
    </row>
    <row r="23" spans="4:17">
      <c r="D23" s="20"/>
      <c r="F23" t="s">
        <v>351</v>
      </c>
      <c r="G23">
        <v>25</v>
      </c>
      <c r="H23">
        <v>3</v>
      </c>
      <c r="J23" s="6" t="s">
        <v>68</v>
      </c>
      <c r="K23">
        <v>16</v>
      </c>
      <c r="L23">
        <v>5</v>
      </c>
      <c r="Q23" s="6" t="s">
        <v>68</v>
      </c>
    </row>
    <row r="24" spans="4:17">
      <c r="D24" s="6"/>
      <c r="F24" t="s">
        <v>347</v>
      </c>
      <c r="G24">
        <v>21</v>
      </c>
      <c r="H24">
        <v>4</v>
      </c>
      <c r="J24" s="6" t="s">
        <v>473</v>
      </c>
      <c r="K24">
        <v>14</v>
      </c>
      <c r="L24">
        <v>3</v>
      </c>
      <c r="Q24" s="6" t="s">
        <v>473</v>
      </c>
    </row>
    <row r="25" spans="4:17">
      <c r="D25" s="20"/>
      <c r="F25" t="s">
        <v>476</v>
      </c>
      <c r="G25">
        <v>13</v>
      </c>
      <c r="H25">
        <v>4</v>
      </c>
      <c r="J25" t="s">
        <v>368</v>
      </c>
      <c r="K25">
        <v>4</v>
      </c>
      <c r="L25">
        <v>5</v>
      </c>
      <c r="Q25" t="s">
        <v>368</v>
      </c>
    </row>
    <row r="26" spans="4:17">
      <c r="F26" t="s">
        <v>475</v>
      </c>
      <c r="G26">
        <v>4</v>
      </c>
      <c r="H26">
        <v>1</v>
      </c>
      <c r="J26" s="6"/>
    </row>
  </sheetData>
  <conditionalFormatting sqref="K5:K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:K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7:K2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3:K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:L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:L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658F-C4B1-45DA-BB39-5B1EE6553803}">
  <dimension ref="A4:Z42"/>
  <sheetViews>
    <sheetView topLeftCell="M26" workbookViewId="0">
      <selection activeCell="N23" sqref="N23"/>
    </sheetView>
  </sheetViews>
  <sheetFormatPr defaultRowHeight="15"/>
  <cols>
    <col min="1" max="1" width="13.42578125" bestFit="1" customWidth="1"/>
    <col min="3" max="3" width="11.28515625" customWidth="1"/>
    <col min="4" max="4" width="12.42578125" customWidth="1"/>
    <col min="5" max="7" width="13.140625" customWidth="1"/>
    <col min="16" max="16" width="19.5703125" bestFit="1" customWidth="1"/>
    <col min="17" max="17" width="11.7109375" customWidth="1"/>
    <col min="18" max="18" width="17" customWidth="1"/>
    <col min="19" max="19" width="10.5703125" bestFit="1" customWidth="1"/>
    <col min="20" max="20" width="16.140625" bestFit="1" customWidth="1"/>
    <col min="25" max="25" width="36.5703125" bestFit="1" customWidth="1"/>
    <col min="26" max="26" width="17.85546875" customWidth="1"/>
  </cols>
  <sheetData>
    <row r="4" spans="1:26" ht="44.25" customHeight="1">
      <c r="C4" s="59" t="s">
        <v>479</v>
      </c>
      <c r="D4" s="60" t="s">
        <v>480</v>
      </c>
      <c r="E4" s="60" t="s">
        <v>481</v>
      </c>
      <c r="F4" s="60" t="s">
        <v>482</v>
      </c>
      <c r="G4" s="60" t="s">
        <v>483</v>
      </c>
      <c r="H4" s="61" t="s">
        <v>484</v>
      </c>
    </row>
    <row r="5" spans="1:26" ht="30.75" customHeight="1">
      <c r="C5" s="62"/>
      <c r="D5" s="63"/>
      <c r="E5" s="63"/>
      <c r="F5" s="63"/>
      <c r="G5" s="63"/>
      <c r="H5" s="64"/>
      <c r="R5" t="s">
        <v>485</v>
      </c>
      <c r="S5">
        <v>2</v>
      </c>
    </row>
    <row r="6" spans="1:26">
      <c r="R6" s="69" t="s">
        <v>486</v>
      </c>
      <c r="S6">
        <v>7</v>
      </c>
    </row>
    <row r="7" spans="1:26">
      <c r="R7" s="123" t="s">
        <v>487</v>
      </c>
      <c r="S7">
        <v>7</v>
      </c>
    </row>
    <row r="8" spans="1:26">
      <c r="R8" s="68" t="s">
        <v>488</v>
      </c>
      <c r="S8">
        <v>6</v>
      </c>
    </row>
    <row r="9" spans="1:26" ht="45.75">
      <c r="A9" t="s">
        <v>489</v>
      </c>
      <c r="C9" s="59" t="s">
        <v>490</v>
      </c>
      <c r="D9" s="60" t="s">
        <v>491</v>
      </c>
      <c r="E9" s="60" t="s">
        <v>492</v>
      </c>
      <c r="F9" s="60"/>
      <c r="G9" s="60" t="s">
        <v>493</v>
      </c>
      <c r="H9" s="61" t="s">
        <v>484</v>
      </c>
      <c r="R9" s="123" t="s">
        <v>494</v>
      </c>
      <c r="S9">
        <v>1</v>
      </c>
    </row>
    <row r="10" spans="1:26" ht="30" customHeight="1">
      <c r="C10" s="65" t="s">
        <v>19</v>
      </c>
      <c r="D10" s="66" t="s">
        <v>19</v>
      </c>
      <c r="E10" s="66" t="s">
        <v>19</v>
      </c>
      <c r="F10" s="66"/>
      <c r="G10" s="66" t="s">
        <v>495</v>
      </c>
      <c r="H10" s="67" t="s">
        <v>19</v>
      </c>
    </row>
    <row r="12" spans="1:26">
      <c r="Q12" t="s">
        <v>496</v>
      </c>
      <c r="R12" t="s">
        <v>497</v>
      </c>
      <c r="S12" t="s">
        <v>498</v>
      </c>
      <c r="T12" t="s">
        <v>495</v>
      </c>
      <c r="U12" t="s">
        <v>499</v>
      </c>
      <c r="V12" t="s">
        <v>483</v>
      </c>
      <c r="W12" t="s">
        <v>302</v>
      </c>
      <c r="X12" t="s">
        <v>500</v>
      </c>
      <c r="Y12" t="s">
        <v>501</v>
      </c>
      <c r="Z12" t="s">
        <v>502</v>
      </c>
    </row>
    <row r="13" spans="1:26">
      <c r="O13">
        <v>1</v>
      </c>
      <c r="P13" t="s">
        <v>503</v>
      </c>
      <c r="Q13" s="68" t="s">
        <v>488</v>
      </c>
      <c r="R13" t="s">
        <v>504</v>
      </c>
      <c r="S13" t="s">
        <v>505</v>
      </c>
      <c r="T13" t="s">
        <v>506</v>
      </c>
      <c r="U13" t="s">
        <v>19</v>
      </c>
      <c r="V13" t="s">
        <v>19</v>
      </c>
      <c r="W13" t="s">
        <v>19</v>
      </c>
      <c r="X13" t="s">
        <v>19</v>
      </c>
    </row>
    <row r="14" spans="1:26">
      <c r="O14">
        <v>2</v>
      </c>
      <c r="P14" t="s">
        <v>507</v>
      </c>
      <c r="Q14" s="68" t="s">
        <v>488</v>
      </c>
      <c r="S14" t="s">
        <v>505</v>
      </c>
      <c r="T14" t="s">
        <v>508</v>
      </c>
      <c r="U14" t="s">
        <v>19</v>
      </c>
      <c r="V14" t="s">
        <v>24</v>
      </c>
      <c r="W14" t="s">
        <v>19</v>
      </c>
      <c r="X14" t="s">
        <v>19</v>
      </c>
    </row>
    <row r="15" spans="1:26">
      <c r="O15">
        <v>3</v>
      </c>
      <c r="P15" t="s">
        <v>509</v>
      </c>
      <c r="Q15" s="123" t="s">
        <v>487</v>
      </c>
      <c r="S15" t="s">
        <v>510</v>
      </c>
      <c r="T15" t="s">
        <v>506</v>
      </c>
      <c r="U15" t="s">
        <v>19</v>
      </c>
      <c r="V15" t="s">
        <v>19</v>
      </c>
      <c r="W15" t="s">
        <v>19</v>
      </c>
      <c r="X15" t="s">
        <v>24</v>
      </c>
    </row>
    <row r="16" spans="1:26">
      <c r="O16">
        <v>4</v>
      </c>
      <c r="P16" t="s">
        <v>511</v>
      </c>
      <c r="Q16" s="69" t="s">
        <v>512</v>
      </c>
      <c r="S16" t="s">
        <v>505</v>
      </c>
      <c r="T16" t="s">
        <v>508</v>
      </c>
      <c r="U16" t="s">
        <v>19</v>
      </c>
      <c r="V16" t="s">
        <v>24</v>
      </c>
      <c r="W16" t="s">
        <v>19</v>
      </c>
      <c r="X16" t="s">
        <v>19</v>
      </c>
    </row>
    <row r="17" spans="15:25">
      <c r="O17">
        <v>5</v>
      </c>
      <c r="P17" t="s">
        <v>513</v>
      </c>
      <c r="Q17" s="69" t="s">
        <v>512</v>
      </c>
      <c r="S17" t="s">
        <v>505</v>
      </c>
      <c r="T17" t="s">
        <v>508</v>
      </c>
      <c r="U17" t="s">
        <v>19</v>
      </c>
      <c r="V17" t="s">
        <v>24</v>
      </c>
      <c r="W17" t="s">
        <v>19</v>
      </c>
      <c r="X17" t="s">
        <v>19</v>
      </c>
    </row>
    <row r="18" spans="15:25">
      <c r="O18">
        <v>6</v>
      </c>
      <c r="P18" t="s">
        <v>514</v>
      </c>
      <c r="Q18" s="69" t="s">
        <v>512</v>
      </c>
      <c r="S18" t="s">
        <v>505</v>
      </c>
      <c r="T18" t="s">
        <v>508</v>
      </c>
      <c r="U18" t="s">
        <v>19</v>
      </c>
      <c r="V18" t="s">
        <v>24</v>
      </c>
      <c r="W18" t="s">
        <v>19</v>
      </c>
      <c r="X18" t="s">
        <v>19</v>
      </c>
    </row>
    <row r="19" spans="15:25">
      <c r="O19">
        <v>7</v>
      </c>
      <c r="P19" t="s">
        <v>515</v>
      </c>
      <c r="Q19" s="69" t="s">
        <v>512</v>
      </c>
      <c r="S19" t="s">
        <v>505</v>
      </c>
      <c r="T19" t="s">
        <v>508</v>
      </c>
      <c r="U19" t="s">
        <v>19</v>
      </c>
      <c r="V19" t="s">
        <v>24</v>
      </c>
      <c r="W19" t="s">
        <v>19</v>
      </c>
      <c r="X19" t="s">
        <v>19</v>
      </c>
    </row>
    <row r="20" spans="15:25">
      <c r="O20">
        <v>8</v>
      </c>
      <c r="P20" t="s">
        <v>516</v>
      </c>
      <c r="Q20" s="123" t="s">
        <v>487</v>
      </c>
      <c r="S20" t="s">
        <v>505</v>
      </c>
      <c r="T20" t="s">
        <v>508</v>
      </c>
      <c r="U20" t="s">
        <v>24</v>
      </c>
      <c r="V20" t="s">
        <v>24</v>
      </c>
      <c r="W20" t="s">
        <v>19</v>
      </c>
      <c r="X20" t="s">
        <v>420</v>
      </c>
    </row>
    <row r="21" spans="15:25">
      <c r="O21">
        <v>9</v>
      </c>
      <c r="P21" t="s">
        <v>517</v>
      </c>
      <c r="Q21" s="123" t="s">
        <v>487</v>
      </c>
      <c r="S21" t="s">
        <v>510</v>
      </c>
      <c r="T21" t="s">
        <v>506</v>
      </c>
      <c r="U21" t="s">
        <v>19</v>
      </c>
      <c r="V21" t="s">
        <v>19</v>
      </c>
      <c r="W21" t="s">
        <v>19</v>
      </c>
      <c r="X21" t="s">
        <v>24</v>
      </c>
    </row>
    <row r="22" spans="15:25">
      <c r="O22">
        <v>10</v>
      </c>
      <c r="P22" t="s">
        <v>518</v>
      </c>
      <c r="Q22" s="68" t="s">
        <v>485</v>
      </c>
      <c r="R22" t="s">
        <v>519</v>
      </c>
      <c r="S22" t="s">
        <v>505</v>
      </c>
      <c r="T22" t="s">
        <v>520</v>
      </c>
      <c r="U22" t="s">
        <v>19</v>
      </c>
      <c r="V22" t="s">
        <v>24</v>
      </c>
      <c r="W22" t="s">
        <v>19</v>
      </c>
      <c r="X22" t="s">
        <v>19</v>
      </c>
    </row>
    <row r="23" spans="15:25">
      <c r="O23">
        <v>11</v>
      </c>
      <c r="P23" t="s">
        <v>521</v>
      </c>
      <c r="Q23" s="68" t="s">
        <v>485</v>
      </c>
      <c r="R23" t="s">
        <v>522</v>
      </c>
      <c r="S23" t="s">
        <v>510</v>
      </c>
      <c r="T23" t="s">
        <v>506</v>
      </c>
      <c r="U23" t="s">
        <v>19</v>
      </c>
      <c r="V23" t="s">
        <v>19</v>
      </c>
      <c r="W23" t="s">
        <v>19</v>
      </c>
      <c r="X23" t="s">
        <v>19</v>
      </c>
    </row>
    <row r="24" spans="15:25" ht="30.75">
      <c r="O24">
        <v>12</v>
      </c>
      <c r="P24" t="s">
        <v>523</v>
      </c>
      <c r="Q24" s="69" t="s">
        <v>512</v>
      </c>
      <c r="R24" s="122" t="s">
        <v>524</v>
      </c>
      <c r="S24" t="s">
        <v>505</v>
      </c>
      <c r="T24" t="s">
        <v>506</v>
      </c>
      <c r="U24" t="s">
        <v>19</v>
      </c>
      <c r="V24" t="s">
        <v>24</v>
      </c>
      <c r="W24" t="s">
        <v>19</v>
      </c>
      <c r="X24" t="s">
        <v>19</v>
      </c>
    </row>
    <row r="25" spans="15:25" ht="30.75">
      <c r="O25">
        <v>13</v>
      </c>
      <c r="P25" t="s">
        <v>525</v>
      </c>
      <c r="Q25" s="68" t="s">
        <v>488</v>
      </c>
      <c r="R25" t="s">
        <v>526</v>
      </c>
      <c r="S25" t="s">
        <v>505</v>
      </c>
      <c r="T25" t="s">
        <v>506</v>
      </c>
      <c r="U25" t="s">
        <v>19</v>
      </c>
      <c r="V25" t="s">
        <v>19</v>
      </c>
      <c r="W25" t="s">
        <v>19</v>
      </c>
      <c r="X25" t="s">
        <v>19</v>
      </c>
      <c r="Y25" s="122" t="s">
        <v>527</v>
      </c>
    </row>
    <row r="26" spans="15:25" ht="30.75">
      <c r="O26">
        <v>14</v>
      </c>
      <c r="P26" t="s">
        <v>528</v>
      </c>
      <c r="Q26" s="123" t="s">
        <v>487</v>
      </c>
      <c r="R26" t="s">
        <v>529</v>
      </c>
      <c r="S26" t="s">
        <v>505</v>
      </c>
      <c r="T26" t="s">
        <v>508</v>
      </c>
      <c r="U26" t="s">
        <v>19</v>
      </c>
      <c r="V26" t="s">
        <v>24</v>
      </c>
      <c r="W26" t="s">
        <v>19</v>
      </c>
      <c r="X26" t="s">
        <v>24</v>
      </c>
      <c r="Y26" s="122" t="s">
        <v>530</v>
      </c>
    </row>
    <row r="27" spans="15:25">
      <c r="O27">
        <v>15</v>
      </c>
      <c r="P27" t="s">
        <v>531</v>
      </c>
      <c r="Q27" s="69" t="s">
        <v>512</v>
      </c>
      <c r="R27" t="s">
        <v>532</v>
      </c>
      <c r="S27" t="s">
        <v>505</v>
      </c>
      <c r="T27" t="s">
        <v>508</v>
      </c>
      <c r="U27" t="s">
        <v>19</v>
      </c>
      <c r="V27" t="s">
        <v>24</v>
      </c>
      <c r="W27" t="s">
        <v>19</v>
      </c>
      <c r="X27" t="s">
        <v>24</v>
      </c>
      <c r="Y27" s="118" t="s">
        <v>533</v>
      </c>
    </row>
    <row r="28" spans="15:25" ht="30.75">
      <c r="O28">
        <v>16</v>
      </c>
      <c r="P28" t="s">
        <v>534</v>
      </c>
      <c r="Q28" s="123" t="s">
        <v>494</v>
      </c>
      <c r="R28" s="122" t="s">
        <v>535</v>
      </c>
      <c r="S28" t="s">
        <v>505</v>
      </c>
      <c r="T28" t="s">
        <v>536</v>
      </c>
      <c r="U28" t="s">
        <v>24</v>
      </c>
      <c r="V28" t="s">
        <v>24</v>
      </c>
      <c r="W28" t="s">
        <v>24</v>
      </c>
      <c r="X28" t="s">
        <v>24</v>
      </c>
      <c r="Y28" t="s">
        <v>537</v>
      </c>
    </row>
    <row r="29" spans="15:25" ht="30.75">
      <c r="O29">
        <v>17</v>
      </c>
      <c r="P29" t="s">
        <v>538</v>
      </c>
      <c r="Q29" s="68" t="s">
        <v>539</v>
      </c>
      <c r="R29" s="122" t="s">
        <v>540</v>
      </c>
      <c r="S29" t="s">
        <v>505</v>
      </c>
      <c r="T29" t="s">
        <v>508</v>
      </c>
      <c r="U29" t="s">
        <v>19</v>
      </c>
      <c r="V29" t="s">
        <v>24</v>
      </c>
      <c r="W29" t="s">
        <v>19</v>
      </c>
      <c r="X29" t="s">
        <v>19</v>
      </c>
    </row>
    <row r="30" spans="15:25">
      <c r="O30">
        <v>18</v>
      </c>
      <c r="P30" t="s">
        <v>541</v>
      </c>
      <c r="Q30" s="68" t="s">
        <v>488</v>
      </c>
      <c r="R30" t="s">
        <v>542</v>
      </c>
      <c r="S30" t="s">
        <v>505</v>
      </c>
      <c r="T30" t="s">
        <v>543</v>
      </c>
      <c r="U30" t="s">
        <v>544</v>
      </c>
      <c r="V30" t="s">
        <v>24</v>
      </c>
      <c r="W30" t="s">
        <v>520</v>
      </c>
      <c r="X30" t="s">
        <v>520</v>
      </c>
    </row>
    <row r="31" spans="15:25">
      <c r="O31">
        <v>19</v>
      </c>
      <c r="P31" t="s">
        <v>545</v>
      </c>
      <c r="Q31" s="123" t="s">
        <v>487</v>
      </c>
      <c r="R31" t="s">
        <v>546</v>
      </c>
      <c r="S31" t="s">
        <v>510</v>
      </c>
      <c r="T31" t="s">
        <v>506</v>
      </c>
      <c r="U31" t="s">
        <v>19</v>
      </c>
      <c r="V31" t="s">
        <v>19</v>
      </c>
      <c r="W31" t="s">
        <v>19</v>
      </c>
      <c r="X31" t="s">
        <v>24</v>
      </c>
    </row>
    <row r="32" spans="15:25" ht="30.75">
      <c r="O32">
        <v>20</v>
      </c>
      <c r="P32" t="s">
        <v>547</v>
      </c>
      <c r="Q32" s="68" t="s">
        <v>488</v>
      </c>
      <c r="R32" s="122" t="s">
        <v>548</v>
      </c>
      <c r="S32" t="s">
        <v>510</v>
      </c>
      <c r="T32" t="s">
        <v>506</v>
      </c>
      <c r="U32" t="s">
        <v>19</v>
      </c>
      <c r="V32" t="s">
        <v>19</v>
      </c>
      <c r="W32" t="s">
        <v>19</v>
      </c>
      <c r="X32" t="s">
        <v>24</v>
      </c>
    </row>
    <row r="33" spans="15:25" ht="32.25" customHeight="1">
      <c r="O33">
        <v>21</v>
      </c>
      <c r="P33" t="s">
        <v>549</v>
      </c>
      <c r="Q33" s="124" t="s">
        <v>550</v>
      </c>
      <c r="R33" t="s">
        <v>551</v>
      </c>
      <c r="S33" t="s">
        <v>510</v>
      </c>
      <c r="T33" t="s">
        <v>508</v>
      </c>
      <c r="U33" t="s">
        <v>19</v>
      </c>
      <c r="V33" t="s">
        <v>24</v>
      </c>
      <c r="W33" t="s">
        <v>19</v>
      </c>
      <c r="X33" t="s">
        <v>19</v>
      </c>
      <c r="Y33" s="122" t="s">
        <v>552</v>
      </c>
    </row>
    <row r="34" spans="15:25">
      <c r="O34">
        <v>22</v>
      </c>
      <c r="P34" t="s">
        <v>553</v>
      </c>
      <c r="Q34" s="69" t="s">
        <v>512</v>
      </c>
      <c r="R34" t="s">
        <v>554</v>
      </c>
      <c r="S34" t="s">
        <v>510</v>
      </c>
      <c r="T34" t="s">
        <v>543</v>
      </c>
      <c r="U34" t="s">
        <v>19</v>
      </c>
      <c r="V34" t="s">
        <v>24</v>
      </c>
      <c r="W34" t="s">
        <v>19</v>
      </c>
      <c r="X34" t="s">
        <v>19</v>
      </c>
    </row>
    <row r="35" spans="15:25">
      <c r="O35">
        <v>23</v>
      </c>
      <c r="P35" t="s">
        <v>555</v>
      </c>
      <c r="Q35" s="123" t="s">
        <v>556</v>
      </c>
      <c r="R35" t="s">
        <v>557</v>
      </c>
      <c r="S35" t="s">
        <v>520</v>
      </c>
      <c r="T35" t="s">
        <v>508</v>
      </c>
      <c r="U35" t="s">
        <v>19</v>
      </c>
      <c r="V35" t="s">
        <v>24</v>
      </c>
      <c r="W35" t="s">
        <v>19</v>
      </c>
      <c r="X35" t="s">
        <v>24</v>
      </c>
    </row>
    <row r="36" spans="15:25">
      <c r="O36">
        <v>24</v>
      </c>
      <c r="P36" t="s">
        <v>558</v>
      </c>
      <c r="Q36" s="123" t="s">
        <v>487</v>
      </c>
      <c r="R36" t="s">
        <v>559</v>
      </c>
      <c r="S36" t="s">
        <v>510</v>
      </c>
      <c r="T36" t="s">
        <v>506</v>
      </c>
      <c r="U36" t="s">
        <v>19</v>
      </c>
      <c r="V36" t="s">
        <v>19</v>
      </c>
      <c r="W36" t="s">
        <v>19</v>
      </c>
      <c r="X36" t="s">
        <v>19</v>
      </c>
    </row>
    <row r="40" spans="15:25">
      <c r="P40" t="s">
        <v>487</v>
      </c>
      <c r="Q40">
        <v>6</v>
      </c>
    </row>
    <row r="41" spans="15:25">
      <c r="P41" t="s">
        <v>539</v>
      </c>
      <c r="Q41">
        <v>7</v>
      </c>
    </row>
    <row r="42" spans="15:25">
      <c r="P42" t="s">
        <v>512</v>
      </c>
      <c r="Q42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3B07-02EA-49A6-9ED7-73C808270BF7}">
  <dimension ref="B3:Y50"/>
  <sheetViews>
    <sheetView topLeftCell="N14" workbookViewId="0">
      <selection activeCell="Q24" sqref="Q24"/>
    </sheetView>
  </sheetViews>
  <sheetFormatPr defaultRowHeight="18" customHeight="1"/>
  <cols>
    <col min="8" max="8" width="15.5703125" bestFit="1" customWidth="1"/>
    <col min="11" max="11" width="23.42578125" bestFit="1" customWidth="1"/>
    <col min="13" max="13" width="23.42578125" bestFit="1" customWidth="1"/>
    <col min="17" max="17" width="17.5703125" bestFit="1" customWidth="1"/>
    <col min="19" max="19" width="16.85546875" bestFit="1" customWidth="1"/>
    <col min="21" max="21" width="13.85546875" bestFit="1" customWidth="1"/>
    <col min="22" max="22" width="15" bestFit="1" customWidth="1"/>
    <col min="23" max="23" width="14.5703125" customWidth="1"/>
    <col min="24" max="24" width="15.5703125" bestFit="1" customWidth="1"/>
    <col min="28" max="28" width="23.42578125" bestFit="1" customWidth="1"/>
    <col min="30" max="30" width="12.5703125" bestFit="1" customWidth="1"/>
  </cols>
  <sheetData>
    <row r="3" spans="5:25" ht="18" customHeight="1">
      <c r="E3" t="s">
        <v>560</v>
      </c>
    </row>
    <row r="10" spans="5:25" ht="18" customHeight="1">
      <c r="G10" t="s">
        <v>561</v>
      </c>
      <c r="O10" t="s">
        <v>562</v>
      </c>
      <c r="T10" t="s">
        <v>563</v>
      </c>
    </row>
    <row r="11" spans="5:25" ht="18" customHeight="1">
      <c r="G11" s="17"/>
      <c r="H11" s="147"/>
      <c r="I11" s="19"/>
      <c r="J11" s="18"/>
      <c r="K11" s="19"/>
      <c r="L11" s="18"/>
      <c r="M11" s="134">
        <v>17</v>
      </c>
      <c r="N11" s="18"/>
      <c r="O11" s="17"/>
      <c r="P11" s="18"/>
      <c r="Q11" s="18"/>
      <c r="R11" s="18"/>
      <c r="S11" s="18"/>
      <c r="T11" s="17"/>
      <c r="U11" s="18"/>
      <c r="V11" s="18"/>
      <c r="W11" s="18"/>
      <c r="X11" s="18"/>
      <c r="Y11" s="19"/>
    </row>
    <row r="12" spans="5:25" ht="18" customHeight="1">
      <c r="G12" s="28"/>
      <c r="H12" s="148"/>
      <c r="I12" s="29"/>
      <c r="K12" s="29"/>
      <c r="M12" s="73" t="s">
        <v>564</v>
      </c>
      <c r="O12" s="28"/>
      <c r="T12" s="28"/>
      <c r="Y12" s="29"/>
    </row>
    <row r="13" spans="5:25" ht="18" customHeight="1">
      <c r="G13" s="28"/>
      <c r="H13" s="148"/>
      <c r="I13" s="29"/>
      <c r="K13" s="29"/>
      <c r="M13" s="135"/>
      <c r="O13" s="28"/>
      <c r="T13" s="28"/>
      <c r="Y13" s="29"/>
    </row>
    <row r="14" spans="5:25" ht="18" customHeight="1">
      <c r="G14" s="28"/>
      <c r="H14" s="149"/>
      <c r="I14" s="29"/>
      <c r="K14" s="29"/>
      <c r="M14" s="135"/>
      <c r="O14" s="28"/>
      <c r="T14" s="28"/>
      <c r="U14" s="125">
        <v>1</v>
      </c>
      <c r="V14" s="157" t="s">
        <v>565</v>
      </c>
      <c r="W14" s="144">
        <v>4</v>
      </c>
      <c r="X14" s="126" t="s">
        <v>541</v>
      </c>
      <c r="Y14" s="29"/>
    </row>
    <row r="15" spans="5:25" ht="18" customHeight="1">
      <c r="G15" s="28" t="s">
        <v>566</v>
      </c>
      <c r="I15" s="29"/>
      <c r="K15" s="29"/>
      <c r="M15" s="137">
        <v>18</v>
      </c>
      <c r="O15" s="28"/>
      <c r="P15" s="125">
        <v>7</v>
      </c>
      <c r="Q15" s="162" t="s">
        <v>545</v>
      </c>
      <c r="R15" s="34">
        <v>9</v>
      </c>
      <c r="S15" s="68" t="s">
        <v>567</v>
      </c>
      <c r="T15" s="28"/>
      <c r="U15" s="33" t="s">
        <v>568</v>
      </c>
      <c r="V15" s="35"/>
      <c r="W15" s="133" t="s">
        <v>568</v>
      </c>
      <c r="X15" s="127"/>
      <c r="Y15" s="29"/>
    </row>
    <row r="16" spans="5:25" ht="18" customHeight="1">
      <c r="G16" s="30"/>
      <c r="I16" s="31"/>
      <c r="K16" s="31"/>
      <c r="M16" s="72" t="s">
        <v>569</v>
      </c>
      <c r="O16" s="28"/>
      <c r="P16" s="33"/>
      <c r="Q16" s="127" t="s">
        <v>570</v>
      </c>
      <c r="R16" s="35"/>
      <c r="S16" s="35" t="s">
        <v>571</v>
      </c>
      <c r="T16" s="28"/>
      <c r="U16" s="28"/>
      <c r="W16" s="28"/>
      <c r="X16" s="29"/>
      <c r="Y16" s="29"/>
    </row>
    <row r="17" spans="2:25" ht="18" customHeight="1">
      <c r="G17" s="28"/>
      <c r="M17" s="135"/>
      <c r="O17" s="28"/>
      <c r="P17" s="28"/>
      <c r="Q17" s="29"/>
      <c r="T17" s="28"/>
      <c r="U17" s="28"/>
      <c r="W17" s="28"/>
      <c r="X17" s="29"/>
      <c r="Y17" s="29"/>
    </row>
    <row r="18" spans="2:25" ht="18" customHeight="1">
      <c r="G18" s="28"/>
      <c r="M18" s="136"/>
      <c r="O18" s="28"/>
      <c r="P18" s="28"/>
      <c r="Q18" s="29"/>
      <c r="T18" s="28"/>
      <c r="U18" s="132">
        <v>5</v>
      </c>
      <c r="V18" s="160" t="s">
        <v>572</v>
      </c>
      <c r="W18" s="32">
        <v>2</v>
      </c>
      <c r="X18" s="158" t="s">
        <v>573</v>
      </c>
      <c r="Y18" s="29"/>
    </row>
    <row r="19" spans="2:25" ht="18" customHeight="1">
      <c r="B19" t="s">
        <v>574</v>
      </c>
      <c r="G19" s="32">
        <v>15</v>
      </c>
      <c r="H19" s="161" t="s">
        <v>521</v>
      </c>
      <c r="O19" s="28"/>
      <c r="P19" s="32">
        <v>8</v>
      </c>
      <c r="Q19" s="163" t="s">
        <v>575</v>
      </c>
      <c r="R19" s="139">
        <v>11</v>
      </c>
      <c r="S19" s="76" t="s">
        <v>576</v>
      </c>
      <c r="T19" s="28"/>
      <c r="U19" s="133" t="s">
        <v>577</v>
      </c>
      <c r="V19" s="35"/>
      <c r="W19" s="33"/>
      <c r="X19" s="127"/>
      <c r="Y19" s="29"/>
    </row>
    <row r="20" spans="2:25" ht="18" customHeight="1">
      <c r="G20" s="33"/>
      <c r="H20" s="153" t="s">
        <v>578</v>
      </c>
      <c r="K20" s="25">
        <v>22</v>
      </c>
      <c r="M20" s="25">
        <v>19</v>
      </c>
      <c r="O20" s="28"/>
      <c r="P20" s="33"/>
      <c r="Q20" s="127" t="s">
        <v>579</v>
      </c>
      <c r="R20" s="140" t="s">
        <v>579</v>
      </c>
      <c r="S20" s="140"/>
      <c r="T20" s="28"/>
      <c r="U20" s="28"/>
      <c r="W20" s="28"/>
      <c r="X20" s="29"/>
      <c r="Y20" s="29"/>
    </row>
    <row r="21" spans="2:25" ht="18" customHeight="1">
      <c r="G21" s="28"/>
      <c r="K21" s="72" t="s">
        <v>516</v>
      </c>
      <c r="M21" s="150" t="s">
        <v>580</v>
      </c>
      <c r="O21" s="28"/>
      <c r="P21" s="28"/>
      <c r="Q21" s="29"/>
      <c r="T21" s="28"/>
      <c r="U21" s="32">
        <v>3</v>
      </c>
      <c r="V21" s="159" t="s">
        <v>581</v>
      </c>
      <c r="W21" s="132">
        <v>6</v>
      </c>
      <c r="X21" s="128" t="s">
        <v>531</v>
      </c>
      <c r="Y21" s="29"/>
    </row>
    <row r="22" spans="2:25" ht="18" customHeight="1">
      <c r="G22" s="28"/>
      <c r="K22" s="26"/>
      <c r="M22" s="26" t="s">
        <v>582</v>
      </c>
      <c r="O22" s="28"/>
      <c r="P22" s="28"/>
      <c r="Q22" s="29"/>
      <c r="T22" s="28"/>
      <c r="U22" s="129" t="s">
        <v>577</v>
      </c>
      <c r="V22" s="131"/>
      <c r="W22" s="145" t="s">
        <v>583</v>
      </c>
      <c r="X22" s="130"/>
      <c r="Y22" s="29"/>
    </row>
    <row r="23" spans="2:25" ht="18" customHeight="1">
      <c r="G23" s="154">
        <v>16</v>
      </c>
      <c r="H23" s="146" t="s">
        <v>538</v>
      </c>
      <c r="K23" s="26"/>
      <c r="M23" s="26"/>
      <c r="O23" s="28"/>
      <c r="P23" s="28"/>
      <c r="Q23" s="29"/>
      <c r="T23" s="28"/>
      <c r="Y23" s="29"/>
    </row>
    <row r="24" spans="2:25" ht="18" customHeight="1">
      <c r="G24" s="155"/>
      <c r="H24" s="156"/>
      <c r="K24" s="25">
        <v>23</v>
      </c>
      <c r="M24" s="25">
        <v>20</v>
      </c>
      <c r="O24" s="28"/>
      <c r="P24" s="143">
        <v>10</v>
      </c>
      <c r="Q24" s="160" t="s">
        <v>517</v>
      </c>
      <c r="R24" s="139">
        <v>12</v>
      </c>
      <c r="S24" s="71" t="s">
        <v>518</v>
      </c>
      <c r="T24" s="28"/>
      <c r="Y24" s="29"/>
    </row>
    <row r="25" spans="2:25" ht="18" customHeight="1">
      <c r="G25" s="28"/>
      <c r="K25" s="75" t="s">
        <v>584</v>
      </c>
      <c r="M25" s="75" t="s">
        <v>523</v>
      </c>
      <c r="O25" s="28"/>
      <c r="P25" s="141"/>
      <c r="Q25" s="142" t="s">
        <v>585</v>
      </c>
      <c r="R25" s="140"/>
      <c r="S25" s="140" t="s">
        <v>586</v>
      </c>
      <c r="T25" s="30"/>
      <c r="U25" s="24"/>
      <c r="V25" s="24"/>
      <c r="W25" s="24"/>
      <c r="X25" s="24"/>
      <c r="Y25" s="31"/>
    </row>
    <row r="26" spans="2:25" ht="18" customHeight="1">
      <c r="G26" s="28"/>
      <c r="K26" s="26"/>
      <c r="M26" s="26" t="s">
        <v>587</v>
      </c>
      <c r="O26" s="28"/>
      <c r="S26" s="29"/>
      <c r="W26" t="s">
        <v>496</v>
      </c>
      <c r="X26" t="s">
        <v>497</v>
      </c>
      <c r="Y26" t="s">
        <v>1</v>
      </c>
    </row>
    <row r="27" spans="2:25" ht="18" customHeight="1">
      <c r="F27" s="29"/>
      <c r="G27" s="36"/>
      <c r="H27" s="37"/>
      <c r="K27" s="26"/>
      <c r="M27" s="26"/>
      <c r="O27" s="28"/>
      <c r="S27" s="29"/>
      <c r="U27" s="68">
        <v>1</v>
      </c>
      <c r="V27" s="1" t="s">
        <v>503</v>
      </c>
      <c r="W27" s="68" t="s">
        <v>488</v>
      </c>
      <c r="X27" t="s">
        <v>505</v>
      </c>
    </row>
    <row r="28" spans="2:25" ht="18" customHeight="1">
      <c r="G28" s="38"/>
      <c r="H28" s="39"/>
      <c r="K28" s="25">
        <v>24</v>
      </c>
      <c r="M28" s="25">
        <v>21</v>
      </c>
      <c r="O28" s="28"/>
      <c r="S28" s="29"/>
      <c r="U28" s="68">
        <v>2</v>
      </c>
      <c r="V28" s="1" t="s">
        <v>507</v>
      </c>
      <c r="W28" s="68" t="s">
        <v>488</v>
      </c>
      <c r="X28" t="s">
        <v>505</v>
      </c>
    </row>
    <row r="29" spans="2:25" ht="18" customHeight="1">
      <c r="E29" s="42"/>
      <c r="F29" s="43"/>
      <c r="G29" s="36"/>
      <c r="H29" s="39"/>
      <c r="K29" s="74" t="s">
        <v>588</v>
      </c>
      <c r="M29" s="74" t="s">
        <v>589</v>
      </c>
      <c r="O29" s="28"/>
      <c r="P29" s="151">
        <v>13</v>
      </c>
      <c r="Q29" s="164" t="s">
        <v>558</v>
      </c>
      <c r="R29" s="34">
        <v>14</v>
      </c>
      <c r="S29" s="146" t="s">
        <v>525</v>
      </c>
      <c r="U29" s="70">
        <v>3</v>
      </c>
      <c r="V29" s="1" t="s">
        <v>509</v>
      </c>
      <c r="W29" s="123" t="s">
        <v>487</v>
      </c>
      <c r="X29" t="s">
        <v>510</v>
      </c>
    </row>
    <row r="30" spans="2:25" ht="18" customHeight="1">
      <c r="E30" s="44"/>
      <c r="F30" s="45"/>
      <c r="G30" s="36"/>
      <c r="H30" s="39"/>
      <c r="K30" s="26"/>
      <c r="M30" s="26" t="s">
        <v>590</v>
      </c>
      <c r="O30" s="28"/>
      <c r="P30" s="152"/>
      <c r="Q30" s="153" t="s">
        <v>591</v>
      </c>
      <c r="R30" s="35"/>
      <c r="S30" s="153" t="s">
        <v>592</v>
      </c>
      <c r="U30" s="69">
        <v>4</v>
      </c>
      <c r="V30" s="1" t="s">
        <v>511</v>
      </c>
      <c r="W30" s="69" t="s">
        <v>512</v>
      </c>
      <c r="X30" t="s">
        <v>505</v>
      </c>
    </row>
    <row r="31" spans="2:25" ht="18" customHeight="1">
      <c r="E31" s="44" t="s">
        <v>593</v>
      </c>
      <c r="F31" s="46"/>
      <c r="G31" s="36" t="s">
        <v>594</v>
      </c>
      <c r="H31" s="39"/>
      <c r="K31" s="27"/>
      <c r="M31" s="27"/>
      <c r="O31" s="28"/>
      <c r="S31" s="29"/>
      <c r="U31" s="69">
        <v>5</v>
      </c>
      <c r="V31" s="1" t="s">
        <v>513</v>
      </c>
      <c r="W31" s="69" t="s">
        <v>512</v>
      </c>
      <c r="X31" t="s">
        <v>505</v>
      </c>
    </row>
    <row r="32" spans="2:25" ht="18" customHeight="1">
      <c r="E32" s="44"/>
      <c r="F32" s="46"/>
      <c r="G32" s="36"/>
      <c r="H32" s="39"/>
      <c r="O32" s="28"/>
      <c r="S32" s="29"/>
      <c r="U32" s="69">
        <v>6</v>
      </c>
      <c r="V32" s="1" t="s">
        <v>514</v>
      </c>
      <c r="W32" s="69" t="s">
        <v>512</v>
      </c>
      <c r="X32" t="s">
        <v>505</v>
      </c>
    </row>
    <row r="33" spans="5:24" ht="18" customHeight="1">
      <c r="E33" s="47"/>
      <c r="F33" s="48"/>
      <c r="G33" s="40"/>
      <c r="H33" s="41"/>
      <c r="I33" s="24"/>
      <c r="J33" s="24"/>
      <c r="K33" s="24"/>
      <c r="L33" s="24"/>
      <c r="M33" s="24"/>
      <c r="N33" s="24"/>
      <c r="O33" s="30"/>
      <c r="P33" s="24"/>
      <c r="Q33" s="24"/>
      <c r="R33" s="24"/>
      <c r="S33" s="31"/>
      <c r="U33" s="69">
        <v>7</v>
      </c>
      <c r="V33" s="1" t="s">
        <v>515</v>
      </c>
      <c r="W33" s="69" t="s">
        <v>512</v>
      </c>
      <c r="X33" t="s">
        <v>505</v>
      </c>
    </row>
    <row r="34" spans="5:24" ht="18" customHeight="1">
      <c r="U34" s="70">
        <v>8</v>
      </c>
      <c r="V34" s="1" t="s">
        <v>516</v>
      </c>
      <c r="W34" s="123" t="s">
        <v>487</v>
      </c>
      <c r="X34" t="s">
        <v>505</v>
      </c>
    </row>
    <row r="35" spans="5:24" ht="18" customHeight="1">
      <c r="U35" s="70">
        <v>9</v>
      </c>
      <c r="V35" s="1" t="s">
        <v>517</v>
      </c>
      <c r="W35" s="123" t="s">
        <v>487</v>
      </c>
      <c r="X35" t="s">
        <v>510</v>
      </c>
    </row>
    <row r="36" spans="5:24" ht="18" customHeight="1">
      <c r="U36" s="68">
        <v>10</v>
      </c>
      <c r="V36" s="1" t="s">
        <v>518</v>
      </c>
      <c r="W36" s="68" t="s">
        <v>485</v>
      </c>
      <c r="X36" t="s">
        <v>505</v>
      </c>
    </row>
    <row r="37" spans="5:24" ht="18" customHeight="1">
      <c r="U37" s="68">
        <v>11</v>
      </c>
      <c r="V37" s="1" t="s">
        <v>521</v>
      </c>
      <c r="W37" s="138" t="s">
        <v>485</v>
      </c>
      <c r="X37" t="s">
        <v>510</v>
      </c>
    </row>
    <row r="38" spans="5:24" ht="18" customHeight="1">
      <c r="U38" s="69">
        <v>12</v>
      </c>
      <c r="V38" s="1" t="s">
        <v>523</v>
      </c>
      <c r="W38" s="69" t="s">
        <v>512</v>
      </c>
      <c r="X38" t="s">
        <v>505</v>
      </c>
    </row>
    <row r="39" spans="5:24" ht="18" customHeight="1">
      <c r="U39" s="68">
        <v>13</v>
      </c>
      <c r="V39" s="1" t="s">
        <v>525</v>
      </c>
      <c r="W39" s="68" t="s">
        <v>488</v>
      </c>
      <c r="X39" t="s">
        <v>505</v>
      </c>
    </row>
    <row r="40" spans="5:24" ht="18" customHeight="1">
      <c r="U40" s="123">
        <v>14</v>
      </c>
      <c r="V40" s="1" t="s">
        <v>528</v>
      </c>
      <c r="W40" s="123" t="s">
        <v>487</v>
      </c>
      <c r="X40" t="s">
        <v>505</v>
      </c>
    </row>
    <row r="41" spans="5:24" ht="18" customHeight="1">
      <c r="U41" s="138">
        <v>15</v>
      </c>
      <c r="V41" s="1" t="s">
        <v>531</v>
      </c>
      <c r="W41" s="69" t="s">
        <v>512</v>
      </c>
      <c r="X41" t="s">
        <v>505</v>
      </c>
    </row>
    <row r="42" spans="5:24" ht="18" customHeight="1">
      <c r="U42" s="70">
        <v>16</v>
      </c>
      <c r="V42" s="1" t="s">
        <v>534</v>
      </c>
      <c r="W42" s="123" t="s">
        <v>494</v>
      </c>
      <c r="X42" t="s">
        <v>505</v>
      </c>
    </row>
    <row r="43" spans="5:24" ht="18" customHeight="1">
      <c r="U43" s="68">
        <v>17</v>
      </c>
      <c r="V43" s="1" t="s">
        <v>538</v>
      </c>
      <c r="W43" s="68" t="s">
        <v>539</v>
      </c>
      <c r="X43" t="s">
        <v>505</v>
      </c>
    </row>
    <row r="44" spans="5:24" ht="18" customHeight="1">
      <c r="U44" s="68">
        <v>18</v>
      </c>
      <c r="V44" s="1" t="s">
        <v>541</v>
      </c>
      <c r="W44" s="68" t="s">
        <v>488</v>
      </c>
      <c r="X44" t="s">
        <v>505</v>
      </c>
    </row>
    <row r="45" spans="5:24" ht="18" customHeight="1">
      <c r="U45" s="123">
        <v>19</v>
      </c>
      <c r="V45" s="1" t="s">
        <v>545</v>
      </c>
      <c r="W45" s="123" t="s">
        <v>487</v>
      </c>
      <c r="X45" t="s">
        <v>510</v>
      </c>
    </row>
    <row r="46" spans="5:24" ht="18" customHeight="1">
      <c r="U46" s="68">
        <v>20</v>
      </c>
      <c r="V46" s="1" t="s">
        <v>547</v>
      </c>
      <c r="W46" s="68" t="s">
        <v>488</v>
      </c>
      <c r="X46" t="s">
        <v>510</v>
      </c>
    </row>
    <row r="47" spans="5:24" ht="18" customHeight="1">
      <c r="U47" s="138">
        <v>21</v>
      </c>
      <c r="V47" s="1" t="s">
        <v>549</v>
      </c>
      <c r="W47" s="124" t="s">
        <v>550</v>
      </c>
      <c r="X47" t="s">
        <v>510</v>
      </c>
    </row>
    <row r="48" spans="5:24" ht="18" customHeight="1">
      <c r="U48" s="138">
        <v>22</v>
      </c>
      <c r="V48" s="1" t="s">
        <v>553</v>
      </c>
      <c r="W48" s="69" t="s">
        <v>512</v>
      </c>
      <c r="X48" t="s">
        <v>510</v>
      </c>
    </row>
    <row r="49" spans="21:24" ht="18" customHeight="1">
      <c r="U49" s="123">
        <v>23</v>
      </c>
      <c r="V49" s="1" t="s">
        <v>555</v>
      </c>
      <c r="W49" s="123" t="s">
        <v>556</v>
      </c>
      <c r="X49" t="s">
        <v>520</v>
      </c>
    </row>
    <row r="50" spans="21:24" ht="18" customHeight="1">
      <c r="U50" s="123">
        <v>24</v>
      </c>
      <c r="V50" s="1" t="s">
        <v>558</v>
      </c>
      <c r="W50" s="123" t="s">
        <v>487</v>
      </c>
      <c r="X50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Insight Investment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Wright, Russell (Insight Investment)</dc:creator>
  <cp:keywords/>
  <dc:description/>
  <cp:lastModifiedBy>Mr R Wright</cp:lastModifiedBy>
  <cp:revision/>
  <dcterms:created xsi:type="dcterms:W3CDTF">2019-11-14T08:33:28Z</dcterms:created>
  <dcterms:modified xsi:type="dcterms:W3CDTF">2025-10-28T10:47:35Z</dcterms:modified>
  <cp:category/>
  <cp:contentStatus/>
</cp:coreProperties>
</file>