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5908" documentId="11_0B1D56BE9CDCCE836B02CE7A5FB0D4A9BBFD1C62" xr6:coauthVersionLast="47" xr6:coauthVersionMax="47" xr10:uidLastSave="{6E058C06-0049-486D-B057-BD2E4DDBBDCE}"/>
  <bookViews>
    <workbookView xWindow="240" yWindow="105" windowWidth="14805" windowHeight="8010" firstSheet="4" activeTab="4" xr2:uid="{00000000-000D-0000-FFFF-FFFF00000000}"/>
  </bookViews>
  <sheets>
    <sheet name="List structures" sheetId="2" r:id="rId1"/>
    <sheet name="All lists" sheetId="9" r:id="rId2"/>
    <sheet name="All results" sheetId="22" r:id="rId3"/>
    <sheet name="Army results" sheetId="24" r:id="rId4"/>
    <sheet name="player ranks" sheetId="23" r:id="rId5"/>
    <sheet name="Wales" sheetId="15" r:id="rId6"/>
    <sheet name="Tim Cyrmi" sheetId="20" r:id="rId7"/>
    <sheet name="Tercios Nuevo" sheetId="10" r:id="rId8"/>
    <sheet name="Scotland" sheetId="21" r:id="rId9"/>
    <sheet name="Poland" sheetId="19" r:id="rId10"/>
    <sheet name="USA" sheetId="18" r:id="rId11"/>
    <sheet name="Pirates" sheetId="13" r:id="rId12"/>
    <sheet name="Netherlands" sheetId="7" r:id="rId13"/>
    <sheet name="N Ireland" sheetId="14" r:id="rId14"/>
    <sheet name="Mixed Nuts" sheetId="5" r:id="rId15"/>
    <sheet name="Germany" sheetId="6" r:id="rId16"/>
    <sheet name="British Lions" sheetId="8" r:id="rId17"/>
    <sheet name="England" sheetId="16" r:id="rId18"/>
    <sheet name="Barbarians" sheetId="3" r:id="rId19"/>
    <sheet name="Sheet3" sheetId="25" r:id="rId20"/>
    <sheet name="Denmark" sheetId="4" r:id="rId21"/>
    <sheet name="Tercios Viejo" sheetId="17" r:id="rId22"/>
    <sheet name="Sheet1" sheetId="11" r:id="rId23"/>
    <sheet name="Sheet2" sheetId="12" r:id="rId24"/>
  </sheets>
  <definedNames>
    <definedName name="_xlnm.Print_Area" localSheetId="18">Barbarians!$J$3:$R$48</definedName>
    <definedName name="_xlnm.Print_Area" localSheetId="22">Sheet1!$A$2:$F$49</definedName>
    <definedName name="_xlnm.Print_Area" localSheetId="23">Sheet2!$A$3:$E$59</definedName>
    <definedName name="_xlnm.Print_Area" localSheetId="8">Scotland!$A$1:$G$64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23" l="1"/>
  <c r="R13" i="23"/>
  <c r="AK9" i="23"/>
  <c r="AK8" i="23"/>
  <c r="AK7" i="23"/>
  <c r="O172" i="23"/>
  <c r="N172" i="23"/>
  <c r="M172" i="23"/>
  <c r="M13" i="25"/>
  <c r="N13" i="25"/>
  <c r="O13" i="25"/>
  <c r="L13" i="25"/>
  <c r="J13" i="25"/>
  <c r="O7" i="25"/>
  <c r="O8" i="25"/>
  <c r="O9" i="25"/>
  <c r="O10" i="25"/>
  <c r="O11" i="25"/>
  <c r="O12" i="25"/>
  <c r="O6" i="25"/>
  <c r="N7" i="25"/>
  <c r="N8" i="25"/>
  <c r="N9" i="25"/>
  <c r="N10" i="25"/>
  <c r="N11" i="25"/>
  <c r="N12" i="25"/>
  <c r="N6" i="25"/>
  <c r="M7" i="25"/>
  <c r="M8" i="25"/>
  <c r="M9" i="25"/>
  <c r="M10" i="25"/>
  <c r="M11" i="25"/>
  <c r="M12" i="25"/>
  <c r="M6" i="25"/>
  <c r="L7" i="25"/>
  <c r="L8" i="25"/>
  <c r="L9" i="25"/>
  <c r="L10" i="25"/>
  <c r="L11" i="25"/>
  <c r="L12" i="25"/>
  <c r="L6" i="25"/>
  <c r="I10" i="24"/>
  <c r="H10" i="24"/>
  <c r="G10" i="24"/>
  <c r="M4" i="24"/>
  <c r="M5" i="24"/>
  <c r="M6" i="24"/>
  <c r="M7" i="24"/>
  <c r="M8" i="24"/>
  <c r="M9" i="24"/>
  <c r="M3" i="24"/>
  <c r="L4" i="24"/>
  <c r="L5" i="24"/>
  <c r="L6" i="24"/>
  <c r="L7" i="24"/>
  <c r="L8" i="24"/>
  <c r="L9" i="24"/>
  <c r="L3" i="24"/>
  <c r="K4" i="24"/>
  <c r="K5" i="24"/>
  <c r="K6" i="24"/>
  <c r="K7" i="24"/>
  <c r="K8" i="24"/>
  <c r="K9" i="24"/>
  <c r="K3" i="24"/>
  <c r="J4" i="24"/>
  <c r="J5" i="24"/>
  <c r="J6" i="24"/>
  <c r="J7" i="24"/>
  <c r="J8" i="24"/>
  <c r="J9" i="24"/>
  <c r="J3" i="24"/>
  <c r="R8" i="23"/>
  <c r="R23" i="23"/>
  <c r="R24" i="23"/>
  <c r="R45" i="23"/>
  <c r="R3" i="23"/>
  <c r="R37" i="23"/>
  <c r="R42" i="23"/>
  <c r="R9" i="23"/>
  <c r="R16" i="23"/>
  <c r="R10" i="23"/>
  <c r="R15" i="23"/>
  <c r="R7" i="23"/>
  <c r="R14" i="23"/>
  <c r="R43" i="23"/>
  <c r="R40" i="23"/>
  <c r="R11" i="23"/>
  <c r="R27" i="23"/>
  <c r="R28" i="23"/>
  <c r="R44" i="23"/>
  <c r="R17" i="23"/>
  <c r="R29" i="23"/>
  <c r="R5" i="23"/>
  <c r="R18" i="23"/>
  <c r="R30" i="23"/>
  <c r="R25" i="23"/>
  <c r="R19" i="23"/>
  <c r="R31" i="23"/>
  <c r="R32" i="23"/>
  <c r="R12" i="23"/>
  <c r="R20" i="23"/>
  <c r="R46" i="23"/>
  <c r="R21" i="23"/>
  <c r="R26" i="23"/>
  <c r="R41" i="23"/>
  <c r="R34" i="23"/>
  <c r="R47" i="23"/>
  <c r="R35" i="23"/>
  <c r="R4" i="23"/>
  <c r="R38" i="23"/>
  <c r="R36" i="23"/>
  <c r="R48" i="23"/>
  <c r="R39" i="23"/>
  <c r="R6" i="23"/>
  <c r="R49" i="23"/>
  <c r="R22" i="23"/>
  <c r="R50" i="23"/>
  <c r="M92" i="16"/>
  <c r="M74" i="16"/>
  <c r="M50" i="16"/>
  <c r="M25" i="16"/>
  <c r="B58" i="4"/>
  <c r="B50" i="4"/>
  <c r="C13" i="4"/>
  <c r="B107" i="13"/>
  <c r="B117" i="13"/>
  <c r="B106" i="13"/>
  <c r="B105" i="13"/>
  <c r="E50" i="13"/>
  <c r="E25" i="13"/>
  <c r="R78" i="16"/>
  <c r="R85" i="16"/>
  <c r="R77" i="16"/>
  <c r="R89" i="16" s="1"/>
  <c r="U51" i="19"/>
  <c r="U26" i="19"/>
  <c r="E82" i="16"/>
  <c r="B96" i="16" s="1"/>
  <c r="E68" i="16"/>
  <c r="B95" i="16" s="1"/>
  <c r="E50" i="16"/>
  <c r="B94" i="16" s="1"/>
  <c r="E25" i="16"/>
  <c r="B93" i="16" s="1"/>
  <c r="B97" i="16" s="1"/>
  <c r="E70" i="13"/>
  <c r="I25" i="7"/>
  <c r="I28" i="7"/>
  <c r="I16" i="7"/>
  <c r="E88" i="10"/>
  <c r="E70" i="10"/>
  <c r="E50" i="10"/>
  <c r="E25" i="10"/>
  <c r="E82" i="18"/>
  <c r="M50" i="17"/>
  <c r="M25" i="17"/>
  <c r="J77" i="17"/>
  <c r="J75" i="17"/>
  <c r="C29" i="4"/>
  <c r="B52" i="4" s="1"/>
  <c r="J94" i="10"/>
  <c r="M68" i="10"/>
  <c r="M50" i="10"/>
  <c r="M25" i="10"/>
  <c r="U88" i="10"/>
  <c r="U70" i="10"/>
  <c r="U50" i="10"/>
  <c r="U25" i="10"/>
  <c r="R74" i="15"/>
  <c r="R73" i="15"/>
  <c r="U63" i="15"/>
  <c r="R76" i="15" s="1"/>
  <c r="U45" i="15"/>
  <c r="R75" i="15" s="1"/>
  <c r="R77" i="15" s="1"/>
  <c r="U13" i="15"/>
  <c r="U29" i="15"/>
  <c r="U66" i="18"/>
  <c r="U48" i="18"/>
  <c r="U28" i="18"/>
  <c r="U16" i="18"/>
  <c r="R83" i="18"/>
  <c r="R79" i="18"/>
  <c r="R78" i="18"/>
  <c r="R77" i="18"/>
  <c r="R89" i="18" s="1"/>
  <c r="J99" i="21"/>
  <c r="J89" i="21"/>
  <c r="J88" i="21"/>
  <c r="J87" i="21"/>
  <c r="M50" i="21"/>
  <c r="M75" i="21"/>
  <c r="M25" i="21"/>
  <c r="R74" i="5"/>
  <c r="R63" i="5"/>
  <c r="R62" i="5"/>
  <c r="J106" i="16"/>
  <c r="J105" i="16"/>
  <c r="J104" i="16"/>
  <c r="J107" i="16"/>
  <c r="R104" i="3"/>
  <c r="R102" i="3"/>
  <c r="R97" i="3"/>
  <c r="R96" i="3"/>
  <c r="R108" i="3"/>
  <c r="J102" i="6"/>
  <c r="J104" i="6"/>
  <c r="J97" i="6"/>
  <c r="J96" i="6"/>
  <c r="J108" i="6"/>
  <c r="D29" i="7"/>
  <c r="B40" i="7" s="1"/>
  <c r="B23" i="7"/>
  <c r="B45" i="7" s="1"/>
  <c r="B17" i="7"/>
  <c r="B39" i="7" s="1"/>
  <c r="B47" i="7"/>
  <c r="B51" i="7"/>
  <c r="P28" i="7"/>
  <c r="P20" i="7"/>
  <c r="Q36" i="7"/>
  <c r="O43" i="7"/>
  <c r="O40" i="7"/>
  <c r="O39" i="7"/>
  <c r="O38" i="7"/>
  <c r="O51" i="7"/>
  <c r="R102" i="13"/>
  <c r="R101" i="13"/>
  <c r="R112" i="13"/>
  <c r="R108" i="13"/>
  <c r="R100" i="13"/>
  <c r="C39" i="4"/>
  <c r="C62" i="4"/>
  <c r="C21" i="4"/>
  <c r="B51" i="4" s="1"/>
  <c r="L60" i="4"/>
  <c r="L38" i="4"/>
  <c r="L27" i="4"/>
  <c r="L20" i="4"/>
  <c r="L13" i="4"/>
  <c r="K56" i="4"/>
  <c r="K52" i="4"/>
  <c r="K49" i="4"/>
  <c r="K48" i="4"/>
  <c r="K50" i="4"/>
  <c r="B102" i="18"/>
  <c r="B100" i="18"/>
  <c r="B95" i="18"/>
  <c r="B94" i="18"/>
  <c r="B106" i="18" s="1"/>
  <c r="R100" i="10"/>
  <c r="R96" i="10"/>
  <c r="R95" i="10"/>
  <c r="R94" i="10"/>
  <c r="R106" i="10" s="1"/>
  <c r="H60" i="4"/>
  <c r="H11" i="4"/>
  <c r="G48" i="4"/>
  <c r="H21" i="4"/>
  <c r="G49" i="4" s="1"/>
  <c r="H32" i="4"/>
  <c r="G50" i="4" s="1"/>
  <c r="H37" i="4"/>
  <c r="G56" i="4" s="1"/>
  <c r="H47" i="7"/>
  <c r="H40" i="7"/>
  <c r="H39" i="7"/>
  <c r="H51" i="7" s="1"/>
  <c r="L106" i="20"/>
  <c r="E69" i="20"/>
  <c r="E51" i="20"/>
  <c r="B103" i="20"/>
  <c r="B104" i="20"/>
  <c r="E91" i="20"/>
  <c r="B105" i="20" s="1"/>
  <c r="C106" i="20"/>
  <c r="E26" i="20"/>
  <c r="T105" i="20"/>
  <c r="T104" i="20"/>
  <c r="T103" i="20"/>
  <c r="T102" i="20"/>
  <c r="V91" i="20"/>
  <c r="V70" i="20"/>
  <c r="V26" i="20"/>
  <c r="T106" i="20"/>
  <c r="S104" i="20"/>
  <c r="S105" i="20"/>
  <c r="V51" i="20"/>
  <c r="S103" i="20" s="1"/>
  <c r="S102" i="20"/>
  <c r="S106" i="20" s="1"/>
  <c r="N91" i="20"/>
  <c r="K104" i="20" s="1"/>
  <c r="N51" i="20"/>
  <c r="K103" i="20" s="1"/>
  <c r="N70" i="20"/>
  <c r="K105" i="20" s="1"/>
  <c r="N26" i="20"/>
  <c r="K102" i="20" s="1"/>
  <c r="K106" i="20" s="1"/>
  <c r="S98" i="19"/>
  <c r="U83" i="19"/>
  <c r="R96" i="19" s="1"/>
  <c r="U65" i="19"/>
  <c r="R97" i="19" s="1"/>
  <c r="R95" i="19"/>
  <c r="R94" i="19"/>
  <c r="R98" i="19" s="1"/>
  <c r="K98" i="19"/>
  <c r="M83" i="19"/>
  <c r="J96" i="19" s="1"/>
  <c r="M65" i="19"/>
  <c r="J97" i="19" s="1"/>
  <c r="M51" i="19"/>
  <c r="J95" i="19" s="1"/>
  <c r="M26" i="19"/>
  <c r="J94" i="19" s="1"/>
  <c r="J98" i="19" s="1"/>
  <c r="B96" i="19"/>
  <c r="C98" i="19"/>
  <c r="E65" i="19"/>
  <c r="B97" i="19" s="1"/>
  <c r="E83" i="19"/>
  <c r="E51" i="19"/>
  <c r="B95" i="19" s="1"/>
  <c r="E26" i="19"/>
  <c r="B94" i="19" s="1"/>
  <c r="B98" i="19" s="1"/>
  <c r="U50" i="17"/>
  <c r="R79" i="17" s="1"/>
  <c r="U67" i="17"/>
  <c r="R81" i="17" s="1"/>
  <c r="U25" i="17"/>
  <c r="R78" i="17" s="1"/>
  <c r="M64" i="17"/>
  <c r="J79" i="17" s="1"/>
  <c r="C104" i="17"/>
  <c r="B104" i="17"/>
  <c r="E89" i="17"/>
  <c r="E75" i="17"/>
  <c r="E51" i="17"/>
  <c r="E25" i="17"/>
  <c r="C58" i="12"/>
  <c r="C57" i="12"/>
  <c r="C56" i="12"/>
  <c r="C59" i="12" s="1"/>
  <c r="E29" i="12"/>
  <c r="B58" i="12" s="1"/>
  <c r="E45" i="12"/>
  <c r="B57" i="12" s="1"/>
  <c r="E18" i="12"/>
  <c r="B56" i="12" s="1"/>
  <c r="B59" i="12" s="1"/>
  <c r="E31" i="11"/>
  <c r="B45" i="11" s="1"/>
  <c r="E21" i="11"/>
  <c r="B46" i="11" s="1"/>
  <c r="E15" i="11"/>
  <c r="B44" i="11" s="1"/>
  <c r="B49" i="11" s="1"/>
  <c r="C108" i="3"/>
  <c r="B108" i="3"/>
  <c r="G82" i="2"/>
  <c r="C82" i="2"/>
  <c r="C24" i="2"/>
  <c r="G24" i="2"/>
  <c r="J108" i="16" l="1"/>
  <c r="N114" i="16" s="1"/>
  <c r="J80" i="17"/>
  <c r="K60" i="4"/>
  <c r="B62" i="4"/>
  <c r="G60" i="4"/>
  <c r="B102" i="20"/>
  <c r="B106" i="20" s="1"/>
</calcChain>
</file>

<file path=xl/sharedStrings.xml><?xml version="1.0" encoding="utf-8"?>
<sst xmlns="http://schemas.openxmlformats.org/spreadsheetml/2006/main" count="10788" uniqueCount="925">
  <si>
    <t>Rifle Platoon</t>
  </si>
  <si>
    <t>Unit type</t>
  </si>
  <si>
    <t>Name</t>
  </si>
  <si>
    <t>Quality</t>
  </si>
  <si>
    <t>Men</t>
  </si>
  <si>
    <t>Notes</t>
  </si>
  <si>
    <t>Cost</t>
  </si>
  <si>
    <t>Platoon commander</t>
  </si>
  <si>
    <t>Infantry squad</t>
  </si>
  <si>
    <t>Medic</t>
  </si>
  <si>
    <t>Forward observer</t>
  </si>
  <si>
    <t>Sniper</t>
  </si>
  <si>
    <t>Anti Tank team</t>
  </si>
  <si>
    <t>Light Mortar</t>
  </si>
  <si>
    <t>Transports</t>
  </si>
  <si>
    <t>Dice</t>
  </si>
  <si>
    <t>Heavy Weapons Platoon</t>
  </si>
  <si>
    <t>Machine gun or Mortar team</t>
  </si>
  <si>
    <t>Mortar team</t>
  </si>
  <si>
    <t>Machine gun team</t>
  </si>
  <si>
    <t>Engineer Platoon</t>
  </si>
  <si>
    <t>Engineer squad</t>
  </si>
  <si>
    <t>Flamethrower team</t>
  </si>
  <si>
    <t>Artillery Platoon</t>
  </si>
  <si>
    <t xml:space="preserve">Artillery  </t>
  </si>
  <si>
    <t>Armoured Platoon</t>
  </si>
  <si>
    <t>Command vehicle</t>
  </si>
  <si>
    <t>Vehicle</t>
  </si>
  <si>
    <t>Recce Platoon</t>
  </si>
  <si>
    <t>Can take recce special rule for ten points</t>
  </si>
  <si>
    <t>Soviet</t>
  </si>
  <si>
    <t>Germany</t>
  </si>
  <si>
    <t>USA</t>
  </si>
  <si>
    <t>Japan</t>
  </si>
  <si>
    <t>GB</t>
  </si>
  <si>
    <t>Finland</t>
  </si>
  <si>
    <t>Hungary</t>
  </si>
  <si>
    <t>Checked</t>
  </si>
  <si>
    <t>Barbarians</t>
  </si>
  <si>
    <t>X</t>
  </si>
  <si>
    <t>yes</t>
  </si>
  <si>
    <t>Netherlands</t>
  </si>
  <si>
    <t>Mixed Nuts</t>
  </si>
  <si>
    <t>Denmark</t>
  </si>
  <si>
    <t>British Lions</t>
  </si>
  <si>
    <t>Tercios Nuevo</t>
  </si>
  <si>
    <t>South Coast Pirates</t>
  </si>
  <si>
    <t>N Ireland</t>
  </si>
  <si>
    <t>Wales</t>
  </si>
  <si>
    <t>England</t>
  </si>
  <si>
    <t>Tercio Viejo</t>
  </si>
  <si>
    <t>USA Swans</t>
  </si>
  <si>
    <t>Poland</t>
  </si>
  <si>
    <t>Tim Cymru</t>
  </si>
  <si>
    <t>Scotland</t>
  </si>
  <si>
    <t>AC</t>
  </si>
  <si>
    <t>Round 1</t>
  </si>
  <si>
    <t>Tables</t>
  </si>
  <si>
    <t>BD</t>
  </si>
  <si>
    <t>Round One</t>
  </si>
  <si>
    <t>Group A</t>
  </si>
  <si>
    <t>Group B</t>
  </si>
  <si>
    <t>Group C</t>
  </si>
  <si>
    <t>Group D</t>
  </si>
  <si>
    <t>Table</t>
  </si>
  <si>
    <t>Denmark Vikings</t>
  </si>
  <si>
    <t>Army</t>
  </si>
  <si>
    <t>Roll off winner and choice</t>
  </si>
  <si>
    <t>Points</t>
  </si>
  <si>
    <t>secondary</t>
  </si>
  <si>
    <t>Team Wales</t>
  </si>
  <si>
    <t>Scotland Saltire</t>
  </si>
  <si>
    <t xml:space="preserve">A </t>
  </si>
  <si>
    <t>Bo</t>
  </si>
  <si>
    <t>Martin K</t>
  </si>
  <si>
    <t xml:space="preserve">G </t>
  </si>
  <si>
    <t>Carlos</t>
  </si>
  <si>
    <t>Gerwyn M</t>
  </si>
  <si>
    <t>M</t>
  </si>
  <si>
    <t>Paul W</t>
  </si>
  <si>
    <t>Torben</t>
  </si>
  <si>
    <t>S</t>
  </si>
  <si>
    <t>Phil M</t>
  </si>
  <si>
    <t>Ed C</t>
  </si>
  <si>
    <t>British</t>
  </si>
  <si>
    <t>B</t>
  </si>
  <si>
    <t>Michael F</t>
  </si>
  <si>
    <t>August T</t>
  </si>
  <si>
    <t>H</t>
  </si>
  <si>
    <t>Jano</t>
  </si>
  <si>
    <t>Phil B</t>
  </si>
  <si>
    <t>N</t>
  </si>
  <si>
    <t>Chris D</t>
  </si>
  <si>
    <t>Alan W</t>
  </si>
  <si>
    <t xml:space="preserve">T </t>
  </si>
  <si>
    <t>Al U</t>
  </si>
  <si>
    <t>Andrew T</t>
  </si>
  <si>
    <t>C</t>
  </si>
  <si>
    <t>Kristian L</t>
  </si>
  <si>
    <t>Jan P</t>
  </si>
  <si>
    <t>I</t>
  </si>
  <si>
    <t>Aquiles</t>
  </si>
  <si>
    <t>Graham T</t>
  </si>
  <si>
    <t>O</t>
  </si>
  <si>
    <t>Gary M</t>
  </si>
  <si>
    <t>Pim B</t>
  </si>
  <si>
    <t>U</t>
  </si>
  <si>
    <t>Johnny F</t>
  </si>
  <si>
    <t>Adam</t>
  </si>
  <si>
    <t>bonus</t>
  </si>
  <si>
    <t>Team Deutschland</t>
  </si>
  <si>
    <t>Tercio nuevo</t>
  </si>
  <si>
    <t>Team Cymru</t>
  </si>
  <si>
    <t>Poland Black Brigade</t>
  </si>
  <si>
    <t>Team England</t>
  </si>
  <si>
    <t xml:space="preserve">D </t>
  </si>
  <si>
    <t>Manuel</t>
  </si>
  <si>
    <t>Jacob W</t>
  </si>
  <si>
    <t>J</t>
  </si>
  <si>
    <t>Colton S</t>
  </si>
  <si>
    <t>Matt S</t>
  </si>
  <si>
    <t>P</t>
  </si>
  <si>
    <t>Krzysztof</t>
  </si>
  <si>
    <t>Alex B</t>
  </si>
  <si>
    <t>V</t>
  </si>
  <si>
    <t>Phil C</t>
  </si>
  <si>
    <t>Michael Ca</t>
  </si>
  <si>
    <t>E</t>
  </si>
  <si>
    <t>Thomas W</t>
  </si>
  <si>
    <t>Nacho</t>
  </si>
  <si>
    <t>K</t>
  </si>
  <si>
    <t>John R</t>
  </si>
  <si>
    <t>Jake T</t>
  </si>
  <si>
    <t>Q</t>
  </si>
  <si>
    <t>Jedrezj</t>
  </si>
  <si>
    <t>Michael Ch</t>
  </si>
  <si>
    <t>W</t>
  </si>
  <si>
    <t>Jonny C</t>
  </si>
  <si>
    <t>Ben A</t>
  </si>
  <si>
    <t>F</t>
  </si>
  <si>
    <t>Martin</t>
  </si>
  <si>
    <t>Tim G</t>
  </si>
  <si>
    <t>L</t>
  </si>
  <si>
    <t>Bryan S</t>
  </si>
  <si>
    <t xml:space="preserve">Nick </t>
  </si>
  <si>
    <t>R</t>
  </si>
  <si>
    <t>Marek</t>
  </si>
  <si>
    <t>David H</t>
  </si>
  <si>
    <t>Z</t>
  </si>
  <si>
    <t>Rich C</t>
  </si>
  <si>
    <t>Charley M</t>
  </si>
  <si>
    <t>Round 2</t>
  </si>
  <si>
    <t xml:space="preserve">M </t>
  </si>
  <si>
    <t>A</t>
  </si>
  <si>
    <t>Philip</t>
  </si>
  <si>
    <t>Martin S</t>
  </si>
  <si>
    <t>Nick</t>
  </si>
  <si>
    <t xml:space="preserve">B </t>
  </si>
  <si>
    <t xml:space="preserve">P </t>
  </si>
  <si>
    <t>Jacob</t>
  </si>
  <si>
    <t>D</t>
  </si>
  <si>
    <t>Adam H</t>
  </si>
  <si>
    <t xml:space="preserve">R </t>
  </si>
  <si>
    <t>Round 3</t>
  </si>
  <si>
    <t xml:space="preserve">H </t>
  </si>
  <si>
    <t xml:space="preserve">C </t>
  </si>
  <si>
    <t>Day 2</t>
  </si>
  <si>
    <t>Round 4</t>
  </si>
  <si>
    <t>Pirates</t>
  </si>
  <si>
    <t>Johny F</t>
  </si>
  <si>
    <t xml:space="preserve">Bryan </t>
  </si>
  <si>
    <t>John Ross</t>
  </si>
  <si>
    <t>Spain</t>
  </si>
  <si>
    <t>Briitish Lions</t>
  </si>
  <si>
    <t>Round 5</t>
  </si>
  <si>
    <t xml:space="preserve">U </t>
  </si>
  <si>
    <t xml:space="preserve">m </t>
  </si>
  <si>
    <t>Phi C</t>
  </si>
  <si>
    <t>n</t>
  </si>
  <si>
    <t>o</t>
  </si>
  <si>
    <t>Result</t>
  </si>
  <si>
    <t>Total</t>
  </si>
  <si>
    <t>Michael C</t>
  </si>
  <si>
    <t>Team</t>
  </si>
  <si>
    <t>MLRS</t>
  </si>
  <si>
    <t>Tanks</t>
  </si>
  <si>
    <t>Platoons</t>
  </si>
  <si>
    <t>Rifle</t>
  </si>
  <si>
    <t>Armour</t>
  </si>
  <si>
    <t>HW</t>
  </si>
  <si>
    <t>Arty</t>
  </si>
  <si>
    <t>Engineers</t>
  </si>
  <si>
    <t>Other comments</t>
  </si>
  <si>
    <t>Lions</t>
  </si>
  <si>
    <t>Finnish</t>
  </si>
  <si>
    <t>5x PzIII</t>
  </si>
  <si>
    <t>Stuart (but not dakka) list, MSU, no indirect HE</t>
  </si>
  <si>
    <t>Demark</t>
  </si>
  <si>
    <t>Wales 2</t>
  </si>
  <si>
    <t>wasps</t>
  </si>
  <si>
    <t>Flame</t>
  </si>
  <si>
    <t>250/9</t>
  </si>
  <si>
    <t>3x observers</t>
  </si>
  <si>
    <t>Kugelblitz x2</t>
  </si>
  <si>
    <t>Spain 2</t>
  </si>
  <si>
    <t>Light tanks, MSU, lots of transports, no indirect or HE</t>
  </si>
  <si>
    <t>Light tanks, took single Flamethrower, MSU infantry, zero HE</t>
  </si>
  <si>
    <t>Nick M</t>
  </si>
  <si>
    <t xml:space="preserve">Spain  </t>
  </si>
  <si>
    <t>SPain 2</t>
  </si>
  <si>
    <t xml:space="preserve">Wales  </t>
  </si>
  <si>
    <t>Check points used</t>
  </si>
  <si>
    <t>Paul Wickens</t>
  </si>
  <si>
    <t>Chris Davies</t>
  </si>
  <si>
    <t>Gary Morgan</t>
  </si>
  <si>
    <t>Quality Level (I/R/V)</t>
  </si>
  <si>
    <t>Description of Unit and Equipment</t>
  </si>
  <si>
    <t>War Period (E/M/L)</t>
  </si>
  <si>
    <t>Points Cost</t>
  </si>
  <si>
    <t xml:space="preserve">Compulsory Units: </t>
  </si>
  <si>
    <t>Compulsory HQ:</t>
  </si>
  <si>
    <t>Inexperienced</t>
  </si>
  <si>
    <t>Platoon Commander</t>
  </si>
  <si>
    <t>Late</t>
  </si>
  <si>
    <t>Platoon Commander + 2 Assistants</t>
  </si>
  <si>
    <t>Mid</t>
  </si>
  <si>
    <t>Mandatory Infantry Squad 1:</t>
  </si>
  <si>
    <t>Regular</t>
  </si>
  <si>
    <t>SS Late war with SMG's x 7</t>
  </si>
  <si>
    <t>Naval Squad x 8, tough fighter</t>
  </si>
  <si>
    <t>Veteren</t>
  </si>
  <si>
    <t>Rangers x 5</t>
  </si>
  <si>
    <t>Mandatory Infantry Squad 2:</t>
  </si>
  <si>
    <t>Osttruppen x 5</t>
  </si>
  <si>
    <t>Optional Units:</t>
  </si>
  <si>
    <t>Anti Tank Team:</t>
  </si>
  <si>
    <t>Panzershrek</t>
  </si>
  <si>
    <t>Dog mine team NCO + 1 Man</t>
  </si>
  <si>
    <t>Bazooka</t>
  </si>
  <si>
    <t>LMG Team</t>
  </si>
  <si>
    <t>Transport:</t>
  </si>
  <si>
    <t>Hanomag</t>
  </si>
  <si>
    <t>Total Points:</t>
  </si>
  <si>
    <t xml:space="preserve">Dice Count: </t>
  </si>
  <si>
    <t>Platoon Commander + 1 Assistant</t>
  </si>
  <si>
    <t xml:space="preserve">V </t>
  </si>
  <si>
    <t>Scouts x 6, 5 with SMG's 1</t>
  </si>
  <si>
    <t xml:space="preserve">5 Rangers </t>
  </si>
  <si>
    <t>6 Regular infantry</t>
  </si>
  <si>
    <t xml:space="preserve">I </t>
  </si>
  <si>
    <t>Field Artillery/Anti Aircraft/Anti-tank gun</t>
  </si>
  <si>
    <t>Nebelwerfer</t>
  </si>
  <si>
    <t>Mandatory Mortar/Machine Gun 1</t>
  </si>
  <si>
    <t>Heavy Mortar + Spotter</t>
  </si>
  <si>
    <t>Mandatory Mortar/Machine Gun 2</t>
  </si>
  <si>
    <t>Light Autocannon + Gun shield</t>
  </si>
  <si>
    <t>1 Mortar/Machine Gun/Ant-tank team</t>
  </si>
  <si>
    <t>Medium Mortar + Spotter</t>
  </si>
  <si>
    <t>Anti-Tank Rifle</t>
  </si>
  <si>
    <t>Platoon Command Vehicle (Tank/Tank Destroyer/Assault Gun/Self Proppelled Artillery/Anti Aircraft Vehicle/Armoured Car)</t>
  </si>
  <si>
    <t>SDKFZ7 251/17 (Drilling) + Command</t>
  </si>
  <si>
    <t>Tank/Tank Destroyer/Assault Gun/Self Proppelled Artillery/Anti Aircraft Vehicle/Armoured Car</t>
  </si>
  <si>
    <t>SDKFZ7 251/17 (Drilling)</t>
  </si>
  <si>
    <t xml:space="preserve">Platoon </t>
  </si>
  <si>
    <t>cohesion</t>
  </si>
  <si>
    <t>Zis-3</t>
  </si>
  <si>
    <t>Engineer Squad 1</t>
  </si>
  <si>
    <t>5 Engineers + Flamethrower</t>
  </si>
  <si>
    <t>Engineer Squad 2</t>
  </si>
  <si>
    <t>37mm 61k Model 1939 AA Heavy AC</t>
  </si>
  <si>
    <t>Engineer Squad</t>
  </si>
  <si>
    <t>Transport or tow:</t>
  </si>
  <si>
    <t>M3 Scout Car</t>
  </si>
  <si>
    <t>Mule Team</t>
  </si>
  <si>
    <t xml:space="preserve">Bolt Action Force Submission </t>
  </si>
  <si>
    <t>Country/Team:</t>
  </si>
  <si>
    <t>Wales 1</t>
  </si>
  <si>
    <t>Player Name</t>
  </si>
  <si>
    <t>List No:</t>
  </si>
  <si>
    <t>3 of 3</t>
  </si>
  <si>
    <t>2 of 3</t>
  </si>
  <si>
    <t>1 of 3</t>
  </si>
  <si>
    <t>Army Nation:</t>
  </si>
  <si>
    <t>German</t>
  </si>
  <si>
    <t>Summary</t>
  </si>
  <si>
    <t xml:space="preserve">Pts </t>
  </si>
  <si>
    <t>Rifle Platoon 1</t>
  </si>
  <si>
    <t>Rifle Platoon 2</t>
  </si>
  <si>
    <t>Artillery Platoon 1</t>
  </si>
  <si>
    <t>Heavy Weapons Platoon 1</t>
  </si>
  <si>
    <t>Armoured Platoon 1</t>
  </si>
  <si>
    <t>Engineer Platoon 2</t>
  </si>
  <si>
    <t>Tim Cymri</t>
  </si>
  <si>
    <t>Jake Taylor</t>
  </si>
  <si>
    <t>Matt Sparrow</t>
  </si>
  <si>
    <t>Nick Murray</t>
  </si>
  <si>
    <t>Compulsory Units:</t>
  </si>
  <si>
    <t>Platoon commander, as modelled</t>
  </si>
  <si>
    <t>Paras, 7 man, 5 SMG</t>
  </si>
  <si>
    <t>Airborne 6 man, 3xSMG, stubborn</t>
  </si>
  <si>
    <t>Teishinshudan 10 man, 3 SMG, 1 MG</t>
  </si>
  <si>
    <t>Airborne 7 man, stubborn</t>
  </si>
  <si>
    <t>IJA Grenadier 9 man, 3 light mortars</t>
  </si>
  <si>
    <t>Infantry Squad:</t>
  </si>
  <si>
    <t>Militia 10 man</t>
  </si>
  <si>
    <t>Medic:</t>
  </si>
  <si>
    <t>Air / Artillery Officer:</t>
  </si>
  <si>
    <t>AIr observer, 2 men, airborne</t>
  </si>
  <si>
    <t>Kempeitai, 2 SMG</t>
  </si>
  <si>
    <t>Light Mortar Team:</t>
  </si>
  <si>
    <t>Sniper Team:</t>
  </si>
  <si>
    <t>Sniper, 2 man airborne</t>
  </si>
  <si>
    <t>Sniper 2 man</t>
  </si>
  <si>
    <t>Bazooka 2 man airborne</t>
  </si>
  <si>
    <t>AT Rifle</t>
  </si>
  <si>
    <t>M3 Scout Car, hmg pintle</t>
  </si>
  <si>
    <t>Dodge</t>
  </si>
  <si>
    <t>Truck</t>
  </si>
  <si>
    <t>Dice Count:</t>
  </si>
  <si>
    <t>Paras 5 man, 1 LMG</t>
  </si>
  <si>
    <t>Ranger 6 man 1 BAR</t>
  </si>
  <si>
    <t>Mortar</t>
  </si>
  <si>
    <t>Heavy Mortar spotter</t>
  </si>
  <si>
    <t>Regular Mortar</t>
  </si>
  <si>
    <t>c</t>
  </si>
  <si>
    <t>Bofors</t>
  </si>
  <si>
    <t>Heavy Mortar</t>
  </si>
  <si>
    <t xml:space="preserve">25 pder </t>
  </si>
  <si>
    <t>Bofors Heavy AC</t>
  </si>
  <si>
    <t>Suicide AT</t>
  </si>
  <si>
    <t>Wasp command, flamethrower, LMG</t>
  </si>
  <si>
    <t>Rocket Launcher</t>
  </si>
  <si>
    <t>Type 98 AC, twin, 3 man, gunshield</t>
  </si>
  <si>
    <t>Wasp , Flamethrower LMG</t>
  </si>
  <si>
    <t>arty</t>
  </si>
  <si>
    <t>Ro Ke</t>
  </si>
  <si>
    <t>Bolt Action Force Submission</t>
  </si>
  <si>
    <t>Jake</t>
  </si>
  <si>
    <t>Matt  Sparrow</t>
  </si>
  <si>
    <t>Pts</t>
  </si>
  <si>
    <t>Heavy Weapons platoon</t>
  </si>
  <si>
    <t>Company commander</t>
  </si>
  <si>
    <t>Point costs of trucks</t>
  </si>
  <si>
    <t>Jacob Wright</t>
  </si>
  <si>
    <t>Tim Greenwood</t>
  </si>
  <si>
    <t>Lt , cohesion</t>
  </si>
  <si>
    <t>Cohesion</t>
  </si>
  <si>
    <t>Lt +  2 men, SMGs, cohesion</t>
  </si>
  <si>
    <t>LT Reg</t>
  </si>
  <si>
    <t>2  additional men,all with SMG's</t>
  </si>
  <si>
    <t>Inf 6 men + 2 LMG</t>
  </si>
  <si>
    <t>Reg Inf 6 men, rifles</t>
  </si>
  <si>
    <t>Reg</t>
  </si>
  <si>
    <t>8 men, Rifles plus 2 LMG's</t>
  </si>
  <si>
    <t>Vet</t>
  </si>
  <si>
    <t>5 Men Brandenburgers rifles</t>
  </si>
  <si>
    <t>Fwd Arty Obsrver + 1 man</t>
  </si>
  <si>
    <t>plus 2 additional men all SMG's</t>
  </si>
  <si>
    <t>Lt Mortar  3 men</t>
  </si>
  <si>
    <t>LMG in place of mortar</t>
  </si>
  <si>
    <t>AT rifle</t>
  </si>
  <si>
    <t>M3 White 7+, HMG, open topped</t>
  </si>
  <si>
    <t xml:space="preserve">Lt </t>
  </si>
  <si>
    <t>Lt + 2 man, SMGs</t>
  </si>
  <si>
    <t>LT inex</t>
  </si>
  <si>
    <t>SMG</t>
  </si>
  <si>
    <t>Inf 6 men, 3 SMG</t>
  </si>
  <si>
    <t>Reg Inf, 9 men, rifles</t>
  </si>
  <si>
    <t>8 men Rifles with 2 LMG's</t>
  </si>
  <si>
    <t>Inf, 5 men, 2 SMG</t>
  </si>
  <si>
    <t>Marines, 7 men, rifles, stub</t>
  </si>
  <si>
    <t>7 Men Rifles with 2 LMG's</t>
  </si>
  <si>
    <t>Lt mortar, 3 men</t>
  </si>
  <si>
    <t>Inex</t>
  </si>
  <si>
    <t xml:space="preserve">2 Man Light Mortar, </t>
  </si>
  <si>
    <t>Dog Team:</t>
  </si>
  <si>
    <t>Dodge + HMG</t>
  </si>
  <si>
    <t>M3 Halftrack (HMG)</t>
  </si>
  <si>
    <t>Lt</t>
  </si>
  <si>
    <t>Lt + 2 men, SMGs</t>
  </si>
  <si>
    <t>Medium mortar</t>
  </si>
  <si>
    <t>Hvy AA</t>
  </si>
  <si>
    <t xml:space="preserve">Medium Mortar 3men </t>
  </si>
  <si>
    <t>MMG</t>
  </si>
  <si>
    <t>MLRS rocket launcher</t>
  </si>
  <si>
    <t>Heavy mortar with spotter</t>
  </si>
  <si>
    <t>ES-Tercios Nuevos</t>
  </si>
  <si>
    <t>LT  Inex</t>
  </si>
  <si>
    <t>Bofors 40mm Hvy AA+Gun shield</t>
  </si>
  <si>
    <t>Medium AT, gunshield</t>
  </si>
  <si>
    <t>25 pdr howitzer</t>
  </si>
  <si>
    <t xml:space="preserve">Flak 36, Gunshiled </t>
  </si>
  <si>
    <t>inex</t>
  </si>
  <si>
    <t>Optional Company Commander*</t>
  </si>
  <si>
    <t>Inex commander + 2 soldiers, SMGs</t>
  </si>
  <si>
    <t>Pack  mule</t>
  </si>
  <si>
    <t>Heavy Weapons Platoon 2</t>
  </si>
  <si>
    <t>Engineer Platoon 1</t>
  </si>
  <si>
    <t>Artillery Platoon 2</t>
  </si>
  <si>
    <t>Armoured Platoon 2</t>
  </si>
  <si>
    <t>Recce Infantry Platoon 1</t>
  </si>
  <si>
    <t>Australian</t>
  </si>
  <si>
    <t>Errors being checked- Commissar</t>
  </si>
  <si>
    <t>Phil Mason</t>
  </si>
  <si>
    <t>Inexp</t>
  </si>
  <si>
    <t>Platoon CO with Assualt Rifle (discount as per WoW pack)</t>
  </si>
  <si>
    <t>E/M/L</t>
  </si>
  <si>
    <t xml:space="preserve">hq </t>
  </si>
  <si>
    <t>Officer</t>
  </si>
  <si>
    <t>5 infantry  1 Assault Rifle/4 Rifles</t>
  </si>
  <si>
    <t>M/L</t>
  </si>
  <si>
    <t>i</t>
  </si>
  <si>
    <t>Infantry section 5 man with 1LMG</t>
  </si>
  <si>
    <t>12 Inexperienced Rifles - Green</t>
  </si>
  <si>
    <t>5 infantry with Rifles</t>
  </si>
  <si>
    <t>7 Man Squard 1xLMG</t>
  </si>
  <si>
    <t>5 Infantry with Rifles</t>
  </si>
  <si>
    <t>Infantry Section 5 man with 1 lmg</t>
  </si>
  <si>
    <t>Arty Observer &amp; Assistant</t>
  </si>
  <si>
    <t>Arty Observer w SMG</t>
  </si>
  <si>
    <t xml:space="preserve">Sniper </t>
  </si>
  <si>
    <t>AT Rifle team</t>
  </si>
  <si>
    <t>Piat</t>
  </si>
  <si>
    <t>Kubelwagon (transport 3)</t>
  </si>
  <si>
    <t>Jeep</t>
  </si>
  <si>
    <t>PIII Ausf L. Med AT,Coax MMG, Hull MMG, Command</t>
  </si>
  <si>
    <t>PIII Ausf D. Light AT, 2xMMG Coax, Hull MMG</t>
  </si>
  <si>
    <t>E/M</t>
  </si>
  <si>
    <t xml:space="preserve">HQ plus 6 man Infantry with 1x LMG </t>
  </si>
  <si>
    <t>6 man Infantry with 1x LMG, tough fighter</t>
  </si>
  <si>
    <t xml:space="preserve">HQ plus 6 man Infantry with 2x LMG </t>
  </si>
  <si>
    <t>Arty Obs with Helper SMGs</t>
  </si>
  <si>
    <t>Arty Obs w/SMG</t>
  </si>
  <si>
    <t>Anti Tank Rifle</t>
  </si>
  <si>
    <t>A. Unicomb</t>
  </si>
  <si>
    <t>Company CO Inexp with Assault Rifle.</t>
  </si>
  <si>
    <t>HQ</t>
  </si>
  <si>
    <t>HQ plus Para 5 man with 1x LMG 4x SMG</t>
  </si>
  <si>
    <t>Heavy Mortar w/Spotter</t>
  </si>
  <si>
    <t>Dog Team</t>
  </si>
  <si>
    <t>Philip Mason</t>
  </si>
  <si>
    <t>USSR</t>
  </si>
  <si>
    <t>Johnny Ferguson</t>
  </si>
  <si>
    <t>Company CO Inexp with SMG &amp; Helper w SMG</t>
  </si>
  <si>
    <t>Regular infantry x7, 2 LMG</t>
  </si>
  <si>
    <t>Heer Grenadier x 5, LMG</t>
  </si>
  <si>
    <t>LMG team</t>
  </si>
  <si>
    <t>They listed as two</t>
  </si>
  <si>
    <t>Dog Mines 2 man, 1 dog</t>
  </si>
  <si>
    <t>Gaz Jeep</t>
  </si>
  <si>
    <t>Paras, x5 SMGs, stubborn</t>
  </si>
  <si>
    <t>Feldgendarmierie, 2 with pistols</t>
  </si>
  <si>
    <t>Maori x6 with LMG</t>
  </si>
  <si>
    <t>Scouts with SMG x 6</t>
  </si>
  <si>
    <t>Heer 5 man with LMG</t>
  </si>
  <si>
    <t>Corps of military police, 2 with pistols</t>
  </si>
  <si>
    <t>Crusader AA Mk II</t>
  </si>
  <si>
    <t>Platoon commander, as equiped</t>
  </si>
  <si>
    <t>Humber MK 2</t>
  </si>
  <si>
    <t>Medium Mortar spotter</t>
  </si>
  <si>
    <t>Bofors truck heavy AC</t>
  </si>
  <si>
    <t xml:space="preserve">Medium Mortar </t>
  </si>
  <si>
    <t>Medium Mortar  spotter</t>
  </si>
  <si>
    <t>PZ III D Command</t>
  </si>
  <si>
    <t>25 pder spotter</t>
  </si>
  <si>
    <t>37mm 61k Heavy AC</t>
  </si>
  <si>
    <t xml:space="preserve">PZ III D  </t>
  </si>
  <si>
    <t>PZ I</t>
  </si>
  <si>
    <t>25 pder</t>
  </si>
  <si>
    <t>Tank platoon</t>
  </si>
  <si>
    <t>Bryan Swanson</t>
  </si>
  <si>
    <t>John  Ross</t>
  </si>
  <si>
    <t>Colton Swanson</t>
  </si>
  <si>
    <t>Regular with cohesion</t>
  </si>
  <si>
    <t>COHESION</t>
  </si>
  <si>
    <t>9 x Rifles</t>
  </si>
  <si>
    <t>6 x Rifles, 1 x lmg</t>
  </si>
  <si>
    <t>6 x Rifles</t>
  </si>
  <si>
    <t>6 x Rifles, 1 x smg</t>
  </si>
  <si>
    <t xml:space="preserve">E </t>
  </si>
  <si>
    <t>7 x Rifles</t>
  </si>
  <si>
    <t>Air Observer + 2 men</t>
  </si>
  <si>
    <t>Air Observer</t>
  </si>
  <si>
    <t>1 1/2 Ton Truck</t>
  </si>
  <si>
    <t>AT-Rifle</t>
  </si>
  <si>
    <t>3-ton Truck</t>
  </si>
  <si>
    <t>Kubelwagon</t>
  </si>
  <si>
    <t>Pzkw III C</t>
  </si>
  <si>
    <t>cOHESION</t>
  </si>
  <si>
    <t>Pzkw II</t>
  </si>
  <si>
    <t>Sdkfz 222</t>
  </si>
  <si>
    <t>Light Howitzer + Gun Shield</t>
  </si>
  <si>
    <t>Light AA Cannon</t>
  </si>
  <si>
    <t>Light Howitzer</t>
  </si>
  <si>
    <t>Crusader III AA Mk II</t>
  </si>
  <si>
    <t>Humber Armoured Car Mk II</t>
  </si>
  <si>
    <t>UK</t>
  </si>
  <si>
    <t>Charlie Murphy</t>
  </si>
  <si>
    <t>Ben Andrews</t>
  </si>
  <si>
    <t>Michael Carrick</t>
  </si>
  <si>
    <t>3x Paratrooper Officer Squad, W/ 3X SMGs, Stubborn</t>
  </si>
  <si>
    <t>SNLF Platoon Commander, +1 Man x2 SMG</t>
  </si>
  <si>
    <t>2 Man - 2 SMG</t>
  </si>
  <si>
    <t>7x Rifleman Paratrooper Squad, Stubborn</t>
  </si>
  <si>
    <t>SNLF Rikusentai Parachute section, 10 men, 3xSMGs</t>
  </si>
  <si>
    <t>6 Man - 5 SMG</t>
  </si>
  <si>
    <t>8x Infantry, 1xSMG, 7x Riflemen</t>
  </si>
  <si>
    <t>Political Officer</t>
  </si>
  <si>
    <t>Kempetai, Rifle</t>
  </si>
  <si>
    <t>Airforce Forward Observer team + 1 Man W/ 2xSMGs</t>
  </si>
  <si>
    <t>Sniper team W/ 2x SMGs</t>
  </si>
  <si>
    <t>Bazooka Team</t>
  </si>
  <si>
    <t>SNLF Suicide AT Nikaku</t>
  </si>
  <si>
    <t>M3 Scout Car: As Per USA TAP - Pintle HMG</t>
  </si>
  <si>
    <t>SNLF Ho-Ki (un-armed)</t>
  </si>
  <si>
    <t>3x Paratrooper Officer Squad W/ 3X SMGs, Stubborn</t>
  </si>
  <si>
    <t>SNLF Infantry 7 men, 1x SMG</t>
  </si>
  <si>
    <t>7 Man</t>
  </si>
  <si>
    <t>Medium Mortar W/ Spotter</t>
  </si>
  <si>
    <t>1 Officer with rifle</t>
  </si>
  <si>
    <t>SNLF Platoon Commander, 1x Rifle</t>
  </si>
  <si>
    <t>SNLF Medium Mortar + Spotter</t>
  </si>
  <si>
    <t>Medium Mortar and Spotter</t>
  </si>
  <si>
    <t>1 Mortar/Machine Gun</t>
  </si>
  <si>
    <t>Ant-tank team</t>
  </si>
  <si>
    <t>SNLF Tankette Type 92 - Command vehicle</t>
  </si>
  <si>
    <t>OT-26 - Flamer - Command Vehicle</t>
  </si>
  <si>
    <t>SNLF Tankette Type 92</t>
  </si>
  <si>
    <t>T-60 Light AC Coax MMG</t>
  </si>
  <si>
    <t>Player Name:</t>
  </si>
  <si>
    <t>Charley Murphy</t>
  </si>
  <si>
    <t>Scout squad should be 105 pts?</t>
  </si>
  <si>
    <t>WORLD OPEN WAR</t>
  </si>
  <si>
    <t>Pim</t>
  </si>
  <si>
    <t>jAPAN</t>
  </si>
  <si>
    <t>Alan Wells</t>
  </si>
  <si>
    <t>OD</t>
  </si>
  <si>
    <t>VET</t>
  </si>
  <si>
    <t>RILFE SQUAD 1</t>
  </si>
  <si>
    <t>Platoon Commander plus one</t>
  </si>
  <si>
    <t>INEX</t>
  </si>
  <si>
    <t>Alan's List</t>
  </si>
  <si>
    <t>5men 4x Rifle 1xlmg  Heer infantry Squad 1</t>
  </si>
  <si>
    <t>REG</t>
  </si>
  <si>
    <t xml:space="preserve">5 men Scout Squad 5xSMG </t>
  </si>
  <si>
    <t>5men 4x Rifle 1xlmg  Heer infantry Squad 2</t>
  </si>
  <si>
    <t>5men 4x Rifle 1xlmg  Heer infantry Squad 3</t>
  </si>
  <si>
    <t>5men 4x Rifle 1xlmg  Heer infantry Squad 4</t>
  </si>
  <si>
    <t>Truck with MMG</t>
  </si>
  <si>
    <t>Light mortar</t>
  </si>
  <si>
    <t>Company Commander-SMG</t>
  </si>
  <si>
    <t>Panzershreck team</t>
  </si>
  <si>
    <t>2men Dog mine</t>
  </si>
  <si>
    <t>Platoon Commander-SMG</t>
  </si>
  <si>
    <t>Kettenrad</t>
  </si>
  <si>
    <t>COHESION RULE</t>
  </si>
  <si>
    <t>12 IJN Rikusentai Paras 3xSMG</t>
  </si>
  <si>
    <t>RILFE SQUAD 2</t>
  </si>
  <si>
    <t xml:space="preserve">Veteran Suicide AT Nikaku </t>
  </si>
  <si>
    <t>6men Tank rider 6xSMG BODY ARMOUR</t>
  </si>
  <si>
    <t>Veteran Ho Ki</t>
  </si>
  <si>
    <t>Heavy Autocanon with gunshield</t>
  </si>
  <si>
    <t>Light Howitzer with gunshield</t>
  </si>
  <si>
    <t>Light AT gun</t>
  </si>
  <si>
    <t>3men Scouts</t>
  </si>
  <si>
    <t>7men 6x Rifle 1xlmg  Heer infantry Squad 5</t>
  </si>
  <si>
    <t>Tank Squad</t>
  </si>
  <si>
    <t>7men 7xSMG SS squad without any special rules Squad 6</t>
  </si>
  <si>
    <t>T60 Command</t>
  </si>
  <si>
    <t>7men 7xSMG SS squad without any special rules Squad 7</t>
  </si>
  <si>
    <t xml:space="preserve">T60 </t>
  </si>
  <si>
    <t>Kubelwagen</t>
  </si>
  <si>
    <t>ENGINEER SQUAD 1</t>
  </si>
  <si>
    <t>5men Engineers -  Flamethrower</t>
  </si>
  <si>
    <t>Pim Boh</t>
  </si>
  <si>
    <t>Kurogane</t>
  </si>
  <si>
    <t>Light Truck</t>
  </si>
  <si>
    <t>Andew Torrens</t>
  </si>
  <si>
    <t>Ed Cooke</t>
  </si>
  <si>
    <t>Adam Hogg</t>
  </si>
  <si>
    <t>Platoon Commander - 1 man</t>
  </si>
  <si>
    <t>Platoon commander, 1 extra man, 2 AR</t>
  </si>
  <si>
    <t>Platoon Commander (as modelled)</t>
  </si>
  <si>
    <t>Rifle Squad - 10 men (Green)</t>
  </si>
  <si>
    <t>Panzer Grenadier, 8 men, 5 AR</t>
  </si>
  <si>
    <t>Veteran</t>
  </si>
  <si>
    <t xml:space="preserve">Paratroop Section (NCO, 6 rifleman, 1 SMG) Stubborn </t>
  </si>
  <si>
    <t>Panzer Grenadier, 8 men, 5 AR, 2pf</t>
  </si>
  <si>
    <t xml:space="preserve">Paratroop Section (NCO, 6 rifleman, 1 LMG) Stubborn </t>
  </si>
  <si>
    <t>German LMG Team</t>
  </si>
  <si>
    <t>HE Team (2 men), Indirect fire, HE (1")</t>
  </si>
  <si>
    <t>Sniper, Team Weapon, Infiltrator</t>
  </si>
  <si>
    <t>Sniper (2 men) Infiltrator</t>
  </si>
  <si>
    <t>Anti-Tank Rifle Team</t>
  </si>
  <si>
    <t>PIAT team (2 men), Shaped Charge</t>
  </si>
  <si>
    <t>SDKFZ 251/1</t>
  </si>
  <si>
    <t>Panzer Grenadier, 6 men, 1LMG</t>
  </si>
  <si>
    <t xml:space="preserve">Paratroop Section (NCO, 5 rifleman, 1 LMG) Stubborn </t>
  </si>
  <si>
    <t>SDKFZ 250/10</t>
  </si>
  <si>
    <t>STUH 42, with schurzen</t>
  </si>
  <si>
    <t>Zis-3 Divisional Gun</t>
  </si>
  <si>
    <t xml:space="preserve">Regular </t>
  </si>
  <si>
    <t>Light Howitzer (Spotter)</t>
  </si>
  <si>
    <t>Medium Howitzer w/ gun shield.. and spotter</t>
  </si>
  <si>
    <t xml:space="preserve">Light Howitzer </t>
  </si>
  <si>
    <r>
      <t xml:space="preserve">Country/Team: </t>
    </r>
    <r>
      <rPr>
        <b/>
        <u/>
        <sz val="11"/>
        <color rgb="FFFF0000"/>
        <rFont val="Calibri"/>
        <family val="2"/>
      </rPr>
      <t>Northern Ireland/ The Finn Mc Hooligans</t>
    </r>
  </si>
  <si>
    <r>
      <t xml:space="preserve">Player Name: </t>
    </r>
    <r>
      <rPr>
        <b/>
        <u/>
        <sz val="11"/>
        <color rgb="FFFF0000"/>
        <rFont val="Calibri"/>
        <family val="2"/>
      </rPr>
      <t>Andrew Torrens</t>
    </r>
  </si>
  <si>
    <r>
      <t xml:space="preserve">List No: </t>
    </r>
    <r>
      <rPr>
        <b/>
        <u/>
        <sz val="11"/>
        <color rgb="FFFF0000"/>
        <rFont val="Calibri"/>
        <family val="2"/>
      </rPr>
      <t>2</t>
    </r>
  </si>
  <si>
    <r>
      <t xml:space="preserve">Army Nation: </t>
    </r>
    <r>
      <rPr>
        <b/>
        <u/>
        <sz val="11"/>
        <color rgb="FFFF0000"/>
        <rFont val="Calibri"/>
        <family val="2"/>
      </rPr>
      <t>Germany</t>
    </r>
  </si>
  <si>
    <t>Regular (Command Vehicle Upgrade Purchased)</t>
  </si>
  <si>
    <t>M3 Stuart light tank Mark I, II (Light AT, Co-Ax MMG. 2 x Hull MMG'S) Vulnerable</t>
  </si>
  <si>
    <t>T-34 with Command rule (Medium AT Gun, Coaxial MMG, Hull MMG)</t>
  </si>
  <si>
    <t>BA 10 (light AT Gun with Coaxial LMG, Forward facing LMG)</t>
  </si>
  <si>
    <t>T-70 (Light AT Gun and coaxial MMG)</t>
  </si>
  <si>
    <r>
      <t xml:space="preserve">Country/Team: </t>
    </r>
    <r>
      <rPr>
        <b/>
        <u/>
        <sz val="11"/>
        <color rgb="FFFF0000"/>
        <rFont val="Calibri"/>
        <family val="2"/>
      </rPr>
      <t>Northern Ireland/Finn McCooligans</t>
    </r>
  </si>
  <si>
    <t>Country/Team: Northern Ireland/ The Finn Mc Hooligans</t>
  </si>
  <si>
    <r>
      <t xml:space="preserve">Player Name: </t>
    </r>
    <r>
      <rPr>
        <b/>
        <u/>
        <sz val="11"/>
        <color rgb="FFFF0000"/>
        <rFont val="Calibri"/>
        <family val="2"/>
      </rPr>
      <t>Edward Cooke</t>
    </r>
  </si>
  <si>
    <t>Player Name: Adam Hogg</t>
  </si>
  <si>
    <r>
      <t xml:space="preserve">List No: </t>
    </r>
    <r>
      <rPr>
        <b/>
        <u/>
        <sz val="11"/>
        <color rgb="FFFF0000"/>
        <rFont val="Calibri"/>
        <family val="2"/>
      </rPr>
      <t>3</t>
    </r>
  </si>
  <si>
    <t>List No: 1</t>
  </si>
  <si>
    <r>
      <t xml:space="preserve">Army Nation: </t>
    </r>
    <r>
      <rPr>
        <b/>
        <u/>
        <sz val="11"/>
        <color rgb="FFFF0000"/>
        <rFont val="Calibri"/>
        <family val="2"/>
      </rPr>
      <t xml:space="preserve">Great Britain (National Characeristic: Vengeance) </t>
    </r>
  </si>
  <si>
    <t>Army Nation: Soviet Union</t>
  </si>
  <si>
    <t>mixed Nuts</t>
  </si>
  <si>
    <t>Michael Christiensen</t>
  </si>
  <si>
    <t>Matty Phipps</t>
  </si>
  <si>
    <t>David</t>
  </si>
  <si>
    <t>1 man smg</t>
  </si>
  <si>
    <t>Platoon CO Assault Rifle</t>
  </si>
  <si>
    <t>Intelligence Officer, 1 man, SMG</t>
  </si>
  <si>
    <t>EML</t>
  </si>
  <si>
    <t>SCOUT SQUAD 5 man 5x smg behind enemy line, infiltrators</t>
  </si>
  <si>
    <t>Volksgrenadier Infantry Squad 1 LMG</t>
  </si>
  <si>
    <t>US Marine Raiders, Rifles, Stubborn, Tough Fighter</t>
  </si>
  <si>
    <t>5 Brandenburgers, 5 SMG, 1 Faust</t>
  </si>
  <si>
    <t>Marines, 7 man, 4 Rifles, 3 SMG, Stubborn</t>
  </si>
  <si>
    <t>Air Observer, 1 man, rifle, Infiltrator</t>
  </si>
  <si>
    <t>Light Mortar, 3 man</t>
  </si>
  <si>
    <t>Sniper, 2 man, pistols, infiltrator</t>
  </si>
  <si>
    <t>AT rifle 2 man</t>
  </si>
  <si>
    <t>SDKFZ 250/1, MMG</t>
  </si>
  <si>
    <t>Dodge 3/4, 8 man transp.</t>
  </si>
  <si>
    <t>Jeep, 3 man transp.</t>
  </si>
  <si>
    <t>7 Fallschirmjager, 7 Assault Rifle</t>
  </si>
  <si>
    <t>Light Mortar, 2 man</t>
  </si>
  <si>
    <t>2 man sniper team sniper rifle infiltrator</t>
  </si>
  <si>
    <t>mixed nuts</t>
  </si>
  <si>
    <t>Platoon CO with Assault Rifle</t>
  </si>
  <si>
    <t>Inex Light mortar</t>
  </si>
  <si>
    <t>Frontnik 2 man  at Rifle Infiltrators</t>
  </si>
  <si>
    <t>4 man HMG gun shield</t>
  </si>
  <si>
    <t>4 man HMG</t>
  </si>
  <si>
    <t>T28 armor 8 tank Light
howitzer gun with coaxial MMG. turret mounted MMG on front and left arc, turret
mounted MMG on front and right arc, Pintle MMG</t>
  </si>
  <si>
    <t>T60 Armor 8 tank light ac coaxial mmg</t>
  </si>
  <si>
    <t>SDKFZ 250/9 + Command</t>
  </si>
  <si>
    <t>SDKFZ 250/9</t>
  </si>
  <si>
    <t>michael</t>
  </si>
  <si>
    <t>Alex</t>
  </si>
  <si>
    <t>soviet</t>
  </si>
  <si>
    <t>Thomas Wordemann</t>
  </si>
  <si>
    <t>Martin Seibel</t>
  </si>
  <si>
    <t>1 Platoon commander, SMG</t>
  </si>
  <si>
    <t>SMG for all men, 3 MAN</t>
  </si>
  <si>
    <t>Platoon Commander SMG</t>
  </si>
  <si>
    <t>10 Arrow Cross militia, shirkers, rifles</t>
  </si>
  <si>
    <t>Riflex5 +1 LMG</t>
  </si>
  <si>
    <t>Feld Gendarmarie 3xSMG 1x Rifle</t>
  </si>
  <si>
    <t>Strafbattalion 7x Rifle</t>
  </si>
  <si>
    <t>7 Arrow Cross militia, shirkers, rifles</t>
  </si>
  <si>
    <t>5 Arrow Cross militia, shirkers, rifles</t>
  </si>
  <si>
    <t>reg</t>
  </si>
  <si>
    <t>Ari Officer reg, SMG</t>
  </si>
  <si>
    <t>1 Kosmolet R</t>
  </si>
  <si>
    <t>LMG, unreliable</t>
  </si>
  <si>
    <t>Hanomag 251/1</t>
  </si>
  <si>
    <t>PC  I</t>
  </si>
  <si>
    <t xml:space="preserve">SMG </t>
  </si>
  <si>
    <t>Platoon Commander SMG -15p</t>
  </si>
  <si>
    <t>6 Rifle Squad R</t>
  </si>
  <si>
    <t>Rifle+ 1 PZF+ Tough Fighter</t>
  </si>
  <si>
    <t>Strafbattalion 10x Rifle</t>
  </si>
  <si>
    <t>Rifle+ 1 PZF+  Tough Fighter</t>
  </si>
  <si>
    <t>Rifle + Tough Fighter</t>
  </si>
  <si>
    <t>Strafbattalion 5x Rifle</t>
  </si>
  <si>
    <t>1 Kosmolet V</t>
  </si>
  <si>
    <t>Toldi II, Command Vehicle, recce</t>
  </si>
  <si>
    <t>PC AC BA 10 R</t>
  </si>
  <si>
    <t>Light AT Gun Coax LMG,For.LMG +CV 1o</t>
  </si>
  <si>
    <t>Panzer 1 + Command</t>
  </si>
  <si>
    <t>Toldi II, recce</t>
  </si>
  <si>
    <t>T28 Tank R</t>
  </si>
  <si>
    <t>Light How,coax MMg,tur.MMG r+unreliable</t>
  </si>
  <si>
    <t>Sdkfz 221 Panzerbüchse</t>
  </si>
  <si>
    <t>BT 7 Tank R</t>
  </si>
  <si>
    <t>Light AT-Gun, Coax MMG, unreliable</t>
  </si>
  <si>
    <t>Panzer 3 C</t>
  </si>
  <si>
    <t>Nimrod, heavy AC, 7+, recce, open topped</t>
  </si>
  <si>
    <t>BA 20 R</t>
  </si>
  <si>
    <t>LMG, Unreliable</t>
  </si>
  <si>
    <t>Platoon commander, SMG</t>
  </si>
  <si>
    <t>PC I</t>
  </si>
  <si>
    <t>Nebelwerfer 43M Sorozatveto</t>
  </si>
  <si>
    <t>Light AT Gun  R</t>
  </si>
  <si>
    <t>Gun Bofors 37mm pstK</t>
  </si>
  <si>
    <t>Flak 36 3,7cm AA</t>
  </si>
  <si>
    <t>Light AT Gun R</t>
  </si>
  <si>
    <t>vet</t>
  </si>
  <si>
    <t>Mule</t>
  </si>
  <si>
    <t>1 Kosmolet</t>
  </si>
  <si>
    <t>Peligro</t>
  </si>
  <si>
    <t>Company Commander +4, SMG</t>
  </si>
  <si>
    <t>Company Commander SMG inex</t>
  </si>
  <si>
    <t>Graham</t>
  </si>
  <si>
    <t>Gerwyn</t>
  </si>
  <si>
    <t>Phil Brewer</t>
  </si>
  <si>
    <t>Inexprienced</t>
  </si>
  <si>
    <t>Platoon Commander with Assault Rifle</t>
  </si>
  <si>
    <t>1x SMG</t>
  </si>
  <si>
    <t>5 Panzer Lehr with SMG + 2 Pazerfaust</t>
  </si>
  <si>
    <t>Tank Riders, 5x SMGs, Body Armour</t>
  </si>
  <si>
    <t>7x Marines, Stubborn, 3x SMG, 4x Rifle</t>
  </si>
  <si>
    <t>5 Heer Grenadier with Rifles</t>
  </si>
  <si>
    <t>ML</t>
  </si>
  <si>
    <t>Scouts, 5x Rifles</t>
  </si>
  <si>
    <t>M3 White Scout Car, 1x pintle HMG</t>
  </si>
  <si>
    <t>Sniper Team (2) with 1 Rifle + 2 Pistol</t>
  </si>
  <si>
    <t>Heavy Field Car</t>
  </si>
  <si>
    <t>8x Marines, Stubborn, 1x BAR, 7x Rifle</t>
  </si>
  <si>
    <t>2x SMG</t>
  </si>
  <si>
    <t>5 Brandenburgers with SMG + 2 Panzerfaust</t>
  </si>
  <si>
    <t>Medium Mortar, Spotter</t>
  </si>
  <si>
    <t>Infantry Squad, 3x Rifles, 2x LMG</t>
  </si>
  <si>
    <t>M16 GMC, 4x turret mounted HMG</t>
  </si>
  <si>
    <t>M3 Stuart, Recce, Light AT and coaxial MMG, dual hull MMG</t>
  </si>
  <si>
    <t>Kugelblitz</t>
  </si>
  <si>
    <t>37mm 61-K Heavy Auto Cannon</t>
  </si>
  <si>
    <t xml:space="preserve">United States </t>
  </si>
  <si>
    <t>M30</t>
  </si>
  <si>
    <t>Horse Drawn Limber</t>
  </si>
  <si>
    <t>Light Howitzer 75mm</t>
  </si>
  <si>
    <t>M17 MGM Carriage, 4x turret mounted HMGs</t>
  </si>
  <si>
    <t>37mm Flak 36 AA</t>
  </si>
  <si>
    <t>T60, Turret mounted Light AC</t>
  </si>
  <si>
    <t>Su76i, Forward facing Light Howiter/Medium AT, Closed topped</t>
  </si>
  <si>
    <t>M3 Stuart I/II, Turret mounted Light AT, Coaxial MMG, Dual Hull MMGs</t>
  </si>
  <si>
    <t>Gerwyn Michael</t>
  </si>
  <si>
    <t>One</t>
  </si>
  <si>
    <t>Soviet Union</t>
  </si>
  <si>
    <t>Plt Cmdr, PanzerLehr, Heer Grenadier, Sniper, Heavy Field Car</t>
  </si>
  <si>
    <t>Plt Cmdr, Brandenburgers, Heer Grenadier, Heavy Field Car</t>
  </si>
  <si>
    <t>Plt Cmdr. Light Howitzer, Nebelwerfer, 2 Heavy Autocannon</t>
  </si>
  <si>
    <t>Command Kugelblitz, Kugelblitz</t>
  </si>
  <si>
    <t>Check he took discount</t>
  </si>
  <si>
    <t>Jonny</t>
  </si>
  <si>
    <t> </t>
  </si>
  <si>
    <t>Lt + 1 with smgs</t>
  </si>
  <si>
    <t>Scout Squad, 6 men all SMG</t>
  </si>
  <si>
    <t>Rangers w/ 3 smgs</t>
  </si>
  <si>
    <t>5x Brandenburgers, 3x SMG, Panzerfaust</t>
  </si>
  <si>
    <t>7 men, 6 SMG</t>
  </si>
  <si>
    <t>6x Fallschirmjager. 3x SMG</t>
  </si>
  <si>
    <t xml:space="preserve">2 man  </t>
  </si>
  <si>
    <t>2 man Dog mine</t>
  </si>
  <si>
    <t>Sdkfz 250/1</t>
  </si>
  <si>
    <t>Lt + 1Bros with smgs</t>
  </si>
  <si>
    <t>7 men rifles</t>
  </si>
  <si>
    <t>9x Green Fallschirmjager</t>
  </si>
  <si>
    <t>6 men rifles</t>
  </si>
  <si>
    <t>6x Fallschirmjager, LMG</t>
  </si>
  <si>
    <t>Ampuloment</t>
  </si>
  <si>
    <t>Light Truck, MMG</t>
  </si>
  <si>
    <t>Lt + Bro with smgs</t>
  </si>
  <si>
    <t>Panzerwerfer, Command Vehicle</t>
  </si>
  <si>
    <t>37mm 61 K model 1939 AA</t>
  </si>
  <si>
    <t>5 Engineers FT</t>
  </si>
  <si>
    <t>M30 &amp; Spotter</t>
  </si>
  <si>
    <t>Panzer II Luchs</t>
  </si>
  <si>
    <t>Flame Thrower Team</t>
  </si>
  <si>
    <t>Dodge ¾ Ton with HMG</t>
  </si>
  <si>
    <t>M3 Stuart Light Tank MK I,III</t>
  </si>
  <si>
    <t>Check</t>
  </si>
  <si>
    <t>SU-761 - Medium AT &amp; Closed</t>
  </si>
  <si>
    <t>BA 20 with FT</t>
  </si>
  <si>
    <t>checked</t>
  </si>
  <si>
    <t>August Taddeo</t>
  </si>
  <si>
    <t>Jan Pedersen</t>
  </si>
  <si>
    <t>Martin Knowles</t>
  </si>
  <si>
    <t>Platoon Commander (1st or 2nd Lieutenant) w/SMG</t>
  </si>
  <si>
    <t>Platoon Commander (1st or 2nd Lieutenant)</t>
  </si>
  <si>
    <t>Regular Infantry Squad - 1 NCO w/Rifle + 5 Soldiers - 4x Rifle, 1 Light LMG</t>
  </si>
  <si>
    <t>Rifle Squad 1 NCO + 5 soldiers 5 rifles, 1 LMG, 1 Panzerfaust.</t>
  </si>
  <si>
    <t>Regular Infantry Squad - 1 NCO + 9 Soldiers - 9 x Rifle, 1 x Automatic Rifle</t>
  </si>
  <si>
    <t>Tank Rider Squad - 1 NCO w/ SMG, 4x Soldiers w/ 4x SMG &amp; Body Armor</t>
  </si>
  <si>
    <t>Regular Infantry Squad - 1 NCO + 7 Soldiers - 7 x Rifle, 1 x SMG</t>
  </si>
  <si>
    <t>Marine Squad - 1 NCO + 7 Soldiers - 7 x Rifle, 1 x SMG, stubborn</t>
  </si>
  <si>
    <t>Air Forward Observer</t>
  </si>
  <si>
    <t>Light Mortar - 2x Soldiers</t>
  </si>
  <si>
    <t>Light Mortar Team (2 man)</t>
  </si>
  <si>
    <t>Sniper Team</t>
  </si>
  <si>
    <t>Panzerschreck team (2 man)</t>
  </si>
  <si>
    <t>T20, lmg</t>
  </si>
  <si>
    <t>T20 Komsomolet, unreliable</t>
  </si>
  <si>
    <t>Philipine Scouts Cavalry - 8 x Carbines</t>
  </si>
  <si>
    <t xml:space="preserve"> Tank Rider Squad - 1 NCO w/ SMG, 4x Soldiers w/ 4x SMG &amp; Body Armor</t>
  </si>
  <si>
    <t>Light Mortar Team (2 men)</t>
  </si>
  <si>
    <t>Anti Tank rifle team (2 man)</t>
  </si>
  <si>
    <t>SU766I - Fully enclosed + Versatile + CMD</t>
  </si>
  <si>
    <t>T-28 Command tank, unreliable</t>
  </si>
  <si>
    <t>M3 Stuart Light Tank (Stuart Light Tank)</t>
  </si>
  <si>
    <t xml:space="preserve">SU766I - Fully enclosed + Versatile </t>
  </si>
  <si>
    <t>T-28 Tank, unreliable</t>
  </si>
  <si>
    <t>M3A1 Stuart with Satan flamethrower (Stuart Light Tank)</t>
  </si>
  <si>
    <t>T26A - 2x MMG, separate turrets</t>
  </si>
  <si>
    <t>Platoon Commander (1st or 2nd Lieutenant) (Officer)</t>
  </si>
  <si>
    <t>37mm 61-K Heavy Autocannon - 4 men</t>
  </si>
  <si>
    <t>AA Autocannon - 4 men</t>
  </si>
  <si>
    <t>Light Howitzer - 3 men</t>
  </si>
  <si>
    <r>
      <t>Country/Team:</t>
    </r>
    <r>
      <rPr>
        <sz val="11"/>
        <color rgb="FF000000"/>
        <rFont val="Calibri"/>
        <family val="2"/>
      </rPr>
      <t xml:space="preserve"> </t>
    </r>
  </si>
  <si>
    <t xml:space="preserve">Country/Team: </t>
  </si>
  <si>
    <t xml:space="preserve">Player Name: </t>
  </si>
  <si>
    <t xml:space="preserve">Player Name </t>
  </si>
  <si>
    <t xml:space="preserve">List No:  </t>
  </si>
  <si>
    <t xml:space="preserve">List No: </t>
  </si>
  <si>
    <t xml:space="preserve">Army Nation: </t>
  </si>
  <si>
    <t>Mirror matches removed</t>
  </si>
  <si>
    <t>Oppo</t>
  </si>
  <si>
    <t>Finns</t>
  </si>
  <si>
    <t>Points issues error</t>
  </si>
  <si>
    <t>Didnt take cohesion bonus, not MG08 is fixed</t>
  </si>
  <si>
    <t>Hungarian</t>
  </si>
  <si>
    <t>Rifle platoon A</t>
  </si>
  <si>
    <t>Rifle Platoon A</t>
  </si>
  <si>
    <t>Platoon Commander (2) inex,2x SMG 28</t>
  </si>
  <si>
    <t>Platoon Commander (1) inex, Carbine, horse 26</t>
  </si>
  <si>
    <t>Platoon commander (1) inex, SMG 21</t>
  </si>
  <si>
    <t>Danube Flotilla (6) inex, 2x MG08(Hitlers Buzzsaw) 52</t>
  </si>
  <si>
    <t>Cavalry (5) reg, horses, Tough fighter 65</t>
  </si>
  <si>
    <t>Para section (7) vet, 4xSMG, Stubborn,114</t>
  </si>
  <si>
    <t>Scouts (5) vet, 5x SMG, Infiltrator, behind… 95</t>
  </si>
  <si>
    <t>Light mortar (2) inex 21</t>
  </si>
  <si>
    <t>Sniper team (2) reg, 2xpistol, infiltrator 52</t>
  </si>
  <si>
    <t>Piat team reg, PIAT 40</t>
  </si>
  <si>
    <t>Dog mines (2) inex 36</t>
  </si>
  <si>
    <t>Light truck inex 18</t>
  </si>
  <si>
    <t>Jeep inex 14</t>
  </si>
  <si>
    <t>Rifle platoon B</t>
  </si>
  <si>
    <t>Rifle Platoon B</t>
  </si>
  <si>
    <t>Platoon Commander (1) inex, SMG 21</t>
  </si>
  <si>
    <t>Infantry section (5) inex 35</t>
  </si>
  <si>
    <t>Experienced Honved (6) reg, 4x SMG 76</t>
  </si>
  <si>
    <t>Rifle platoon C</t>
  </si>
  <si>
    <t>Engineer platoon C</t>
  </si>
  <si>
    <t>Experienced Honved (7) reg, 4x SMG 76</t>
  </si>
  <si>
    <t>MMG team (3) inex 35</t>
  </si>
  <si>
    <t>Royal Engineers (5) reg, SMG, Flamethrower 89</t>
  </si>
  <si>
    <t>Priest Kangaroo, MMG  reg 66</t>
  </si>
  <si>
    <t>Armoured Platoon D</t>
  </si>
  <si>
    <t>Nimrod AA Command vehicle, Recce 95</t>
  </si>
  <si>
    <t>T60 light tank reg, command vehicle 115</t>
  </si>
  <si>
    <t>SAS jeep vet, f-f LMG, f-f HMG, 2x r-f LMG, 77</t>
  </si>
  <si>
    <t>Nimrod AA Recce 85</t>
  </si>
  <si>
    <t>T60 light tank reg 105</t>
  </si>
  <si>
    <t>SAS jeep vet, f-f LMG, f-f HMG, 2x r-f LMG, 67</t>
  </si>
  <si>
    <t>Total 24 OD 1099 points</t>
  </si>
  <si>
    <t>Crusader AA mk II twin light AC 130</t>
  </si>
  <si>
    <t>Total: 20 OD 1100 points</t>
  </si>
  <si>
    <t>Rifle Platoon 3</t>
  </si>
  <si>
    <t>cHECKED</t>
  </si>
  <si>
    <t>Spain 1</t>
  </si>
  <si>
    <t>Raziel</t>
  </si>
  <si>
    <t>cohesion bonus</t>
  </si>
  <si>
    <t>Platoon commander plus 2 men, as modelled</t>
  </si>
  <si>
    <t>Platoon commander plus 1 men, as modelled</t>
  </si>
  <si>
    <t>Heer Grenadier, 5 men 1 LMG</t>
  </si>
  <si>
    <t>Rifle Squad 6 men, 2 SMG, 2 PF</t>
  </si>
  <si>
    <t>Rifle Squad 6 men, 1BAR</t>
  </si>
  <si>
    <t>Rifle Squad 6 men, 2 SMG</t>
  </si>
  <si>
    <t>Rifle Squad 6 men</t>
  </si>
  <si>
    <t>AT Rifle 2 man</t>
  </si>
  <si>
    <t>Komsomolets, unreliable</t>
  </si>
  <si>
    <t>M3 white  scout car HMG</t>
  </si>
  <si>
    <t>Platoon commander plus 1 man, as modelled</t>
  </si>
  <si>
    <t>Platoon commander SMG</t>
  </si>
  <si>
    <t>Rifle Squad 5 men</t>
  </si>
  <si>
    <t>Brandenburgers, 5 men, 3 SMG, 1 PF</t>
  </si>
  <si>
    <t>Rifle Squad 5 man</t>
  </si>
  <si>
    <t>Infantry Squad 6 men</t>
  </si>
  <si>
    <t>BA 10 Command, unreliable</t>
  </si>
  <si>
    <t>Assault Rifle</t>
  </si>
  <si>
    <t>BA 10 , unreliable</t>
  </si>
  <si>
    <t>Pioneers squad, 5 men, 2 SMG, PZ</t>
  </si>
  <si>
    <t>Sturm Pioneer, 5 men, FT, 2 SMG</t>
  </si>
  <si>
    <t>M3A1 Command</t>
  </si>
  <si>
    <t>BA 20</t>
  </si>
  <si>
    <t>M3A1 Stuart</t>
  </si>
  <si>
    <t>T 28</t>
  </si>
  <si>
    <t>M3A1 Stuart, recce</t>
  </si>
  <si>
    <t>M8 Greyhound HMG</t>
  </si>
  <si>
    <t>SDKFZ 250/1</t>
  </si>
  <si>
    <t>Spain TV</t>
  </si>
  <si>
    <t>Command SDKFZ 222</t>
  </si>
  <si>
    <t>PZ II Luchs Recce</t>
  </si>
  <si>
    <t>Platoon Commander (1st or 2nd Lieutenant), US Marine, Stubborn</t>
  </si>
  <si>
    <t>Red star</t>
  </si>
  <si>
    <t>Regular US marine squad - 1 NCO + 7 Soldiers - 4 x Rifle, 3 x Automatic Rifle, stubborn</t>
  </si>
  <si>
    <t>Yellow</t>
  </si>
  <si>
    <t>Blue</t>
  </si>
  <si>
    <t>Marine Squad - 1 NCO + 6 Soldiers - 3 x Rifle, 3 x BAR, stubborn</t>
  </si>
  <si>
    <t>Green Red</t>
  </si>
  <si>
    <t>Green tab</t>
  </si>
  <si>
    <t>M4A4 Sherman, Medium AT gun, coaxial MMG, hull MMG, Pintle HMG, command</t>
  </si>
  <si>
    <t>M4 76mm Sherman, Heavy AT gun, coaxial MMG, hull MMG, Pintle HMG</t>
  </si>
  <si>
    <t>Platoon commander 1 man, Stubborn</t>
  </si>
  <si>
    <t>Green star</t>
  </si>
  <si>
    <t>Heavy Mortar 4 man, spotter, stubborn</t>
  </si>
  <si>
    <t>Platoon commander 3 man</t>
  </si>
  <si>
    <t>Infantry section, NCO plus 11 men, one LMG</t>
  </si>
  <si>
    <t>Infantry section, NCO plus 7 men, one LMG</t>
  </si>
  <si>
    <t>3 man light mortar team</t>
  </si>
  <si>
    <t>Suicide bomber</t>
  </si>
  <si>
    <t>Platoon commander 1 man</t>
  </si>
  <si>
    <t>Light Howitzer 75mm, gun shield</t>
  </si>
  <si>
    <t xml:space="preserve">Platoon commander 1 man, </t>
  </si>
  <si>
    <t>Medium Mortar 3 man, spotter</t>
  </si>
  <si>
    <t>Medium Mortar 3 man</t>
  </si>
  <si>
    <t>MMG team 3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</si>
</sst>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ptos Narrow"/>
      <family val="2"/>
    </font>
    <font>
      <sz val="18"/>
      <color rgb="FF000000"/>
      <name val="Aptos Narrow"/>
      <family val="2"/>
    </font>
    <font>
      <sz val="8"/>
      <color rgb="FF000000"/>
      <name val="Aptos Narrow"/>
      <family val="2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name val="Aptos Narrow"/>
      <family val="2"/>
    </font>
    <font>
      <sz val="14"/>
      <color rgb="FFFFFFFF"/>
      <name val="Aptos Narrow"/>
      <family val="2"/>
    </font>
    <font>
      <sz val="13.5"/>
      <color rgb="FF000000"/>
      <name val="Times New Roman"/>
      <charset val="1"/>
    </font>
    <font>
      <sz val="11"/>
      <color rgb="FF000000"/>
      <name val="Calibri"/>
      <charset val="1"/>
    </font>
    <font>
      <b/>
      <u/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0"/>
      <name val="Calibri"/>
    </font>
    <font>
      <sz val="11"/>
      <color theme="1"/>
      <name val="Arial"/>
      <charset val="1"/>
    </font>
    <font>
      <b/>
      <u/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Arial"/>
      <charset val="1"/>
    </font>
    <font>
      <b/>
      <u/>
      <sz val="11"/>
      <color rgb="FFFF0000"/>
      <name val="Calibri"/>
      <family val="2"/>
    </font>
    <font>
      <b/>
      <sz val="11"/>
      <color rgb="FF000000"/>
      <name val="Calibri1"/>
    </font>
    <font>
      <b/>
      <sz val="11"/>
      <color rgb="FF000000"/>
      <name val="Arial1"/>
    </font>
    <font>
      <sz val="11"/>
      <color rgb="FF000000"/>
      <name val="Arial1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</font>
    <font>
      <b/>
      <sz val="11"/>
      <color theme="1"/>
      <name val="Calibri1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  <family val="2"/>
    </font>
    <font>
      <b/>
      <sz val="13.5"/>
      <color rgb="FF000000"/>
      <name val="Times New Roman"/>
      <charset val="1"/>
    </font>
    <font>
      <b/>
      <u/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ptos Narrow"/>
      <family val="2"/>
      <scheme val="minor"/>
    </font>
    <font>
      <b/>
      <u/>
      <sz val="11"/>
      <color rgb="FFFF0000"/>
      <name val="Calibri"/>
    </font>
    <font>
      <b/>
      <sz val="11"/>
      <color rgb="FFFF0000"/>
      <name val="Calibri"/>
    </font>
    <font>
      <sz val="11"/>
      <name val="Calibri"/>
    </font>
    <font>
      <b/>
      <u/>
      <sz val="11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9" xfId="0" applyBorder="1"/>
    <xf numFmtId="0" fontId="1" fillId="0" borderId="0" xfId="0" applyFont="1"/>
    <xf numFmtId="0" fontId="2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wrapText="1"/>
    </xf>
    <xf numFmtId="0" fontId="3" fillId="0" borderId="14" xfId="0" applyFont="1" applyBorder="1"/>
    <xf numFmtId="0" fontId="3" fillId="0" borderId="10" xfId="0" applyFont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5" xfId="0" applyFont="1" applyFill="1" applyBorder="1"/>
    <xf numFmtId="0" fontId="4" fillId="2" borderId="14" xfId="0" applyFont="1" applyFill="1" applyBorder="1"/>
    <xf numFmtId="0" fontId="4" fillId="0" borderId="10" xfId="0" applyFont="1" applyBorder="1"/>
    <xf numFmtId="0" fontId="2" fillId="3" borderId="11" xfId="0" applyFont="1" applyFill="1" applyBorder="1"/>
    <xf numFmtId="0" fontId="2" fillId="3" borderId="12" xfId="0" applyFont="1" applyFill="1" applyBorder="1" applyAlignment="1">
      <alignment wrapText="1"/>
    </xf>
    <xf numFmtId="0" fontId="2" fillId="3" borderId="15" xfId="0" applyFont="1" applyFill="1" applyBorder="1"/>
    <xf numFmtId="0" fontId="2" fillId="3" borderId="14" xfId="0" applyFont="1" applyFill="1" applyBorder="1"/>
    <xf numFmtId="0" fontId="4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5" xfId="0" applyFont="1" applyFill="1" applyBorder="1"/>
    <xf numFmtId="0" fontId="2" fillId="2" borderId="1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5" xfId="0" applyFont="1" applyBorder="1"/>
    <xf numFmtId="0" fontId="2" fillId="0" borderId="14" xfId="0" applyFont="1" applyBorder="1"/>
    <xf numFmtId="0" fontId="3" fillId="0" borderId="11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2" fillId="3" borderId="12" xfId="0" applyFont="1" applyFill="1" applyBorder="1"/>
    <xf numFmtId="0" fontId="5" fillId="2" borderId="10" xfId="0" applyFont="1" applyFill="1" applyBorder="1"/>
    <xf numFmtId="0" fontId="6" fillId="0" borderId="11" xfId="0" applyFont="1" applyBorder="1"/>
    <xf numFmtId="0" fontId="6" fillId="0" borderId="16" xfId="0" applyFont="1" applyBorder="1" applyAlignment="1">
      <alignment wrapText="1"/>
    </xf>
    <xf numFmtId="0" fontId="6" fillId="0" borderId="14" xfId="0" applyFont="1" applyBorder="1"/>
    <xf numFmtId="0" fontId="6" fillId="0" borderId="17" xfId="0" applyFont="1" applyBorder="1"/>
    <xf numFmtId="0" fontId="7" fillId="2" borderId="18" xfId="0" applyFont="1" applyFill="1" applyBorder="1"/>
    <xf numFmtId="0" fontId="7" fillId="2" borderId="19" xfId="0" applyFont="1" applyFill="1" applyBorder="1"/>
    <xf numFmtId="0" fontId="7" fillId="2" borderId="20" xfId="0" applyFont="1" applyFill="1" applyBorder="1"/>
    <xf numFmtId="0" fontId="7" fillId="0" borderId="17" xfId="0" applyFont="1" applyBorder="1"/>
    <xf numFmtId="0" fontId="5" fillId="3" borderId="18" xfId="0" applyFont="1" applyFill="1" applyBorder="1"/>
    <xf numFmtId="0" fontId="5" fillId="3" borderId="19" xfId="0" applyFont="1" applyFill="1" applyBorder="1"/>
    <xf numFmtId="0" fontId="5" fillId="3" borderId="20" xfId="0" applyFont="1" applyFill="1" applyBorder="1"/>
    <xf numFmtId="0" fontId="5" fillId="3" borderId="19" xfId="0" applyFont="1" applyFill="1" applyBorder="1" applyAlignment="1">
      <alignment wrapText="1"/>
    </xf>
    <xf numFmtId="0" fontId="7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17" xfId="0" applyFont="1" applyFill="1" applyBorder="1"/>
    <xf numFmtId="0" fontId="6" fillId="0" borderId="11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6" fillId="0" borderId="12" xfId="0" applyFont="1" applyBorder="1"/>
    <xf numFmtId="0" fontId="6" fillId="0" borderId="13" xfId="0" applyFont="1" applyBorder="1" applyAlignment="1">
      <alignment wrapText="1"/>
    </xf>
    <xf numFmtId="0" fontId="6" fillId="0" borderId="10" xfId="0" applyFont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5" xfId="0" applyFont="1" applyFill="1" applyBorder="1"/>
    <xf numFmtId="0" fontId="7" fillId="2" borderId="14" xfId="0" applyFont="1" applyFill="1" applyBorder="1"/>
    <xf numFmtId="0" fontId="7" fillId="0" borderId="10" xfId="0" applyFont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4" xfId="0" applyFont="1" applyFill="1" applyBorder="1"/>
    <xf numFmtId="0" fontId="5" fillId="3" borderId="12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7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5" xfId="0" applyFont="1" applyFill="1" applyBorder="1"/>
    <xf numFmtId="0" fontId="5" fillId="2" borderId="14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5" fillId="0" borderId="15" xfId="0" applyFont="1" applyBorder="1"/>
    <xf numFmtId="0" fontId="5" fillId="0" borderId="14" xfId="0" applyFont="1" applyBorder="1"/>
    <xf numFmtId="0" fontId="7" fillId="0" borderId="10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2" borderId="21" xfId="0" applyFont="1" applyFill="1" applyBorder="1"/>
    <xf numFmtId="0" fontId="5" fillId="2" borderId="22" xfId="0" applyFont="1" applyFill="1" applyBorder="1"/>
    <xf numFmtId="0" fontId="6" fillId="0" borderId="22" xfId="0" applyFont="1" applyBorder="1" applyAlignment="1">
      <alignment wrapText="1"/>
    </xf>
    <xf numFmtId="0" fontId="6" fillId="2" borderId="10" xfId="0" applyFont="1" applyFill="1" applyBorder="1"/>
    <xf numFmtId="0" fontId="8" fillId="0" borderId="23" xfId="0" applyFont="1" applyBorder="1"/>
    <xf numFmtId="0" fontId="9" fillId="0" borderId="23" xfId="0" applyFont="1" applyBorder="1"/>
    <xf numFmtId="0" fontId="10" fillId="0" borderId="23" xfId="0" applyFont="1" applyBorder="1"/>
    <xf numFmtId="0" fontId="2" fillId="2" borderId="21" xfId="0" applyFont="1" applyFill="1" applyBorder="1"/>
    <xf numFmtId="0" fontId="2" fillId="2" borderId="22" xfId="0" applyFont="1" applyFill="1" applyBorder="1"/>
    <xf numFmtId="0" fontId="3" fillId="0" borderId="22" xfId="0" applyFont="1" applyBorder="1" applyAlignment="1">
      <alignment wrapText="1"/>
    </xf>
    <xf numFmtId="0" fontId="3" fillId="2" borderId="10" xfId="0" applyFont="1" applyFill="1" applyBorder="1"/>
    <xf numFmtId="0" fontId="5" fillId="0" borderId="11" xfId="0" applyFont="1" applyBorder="1" applyAlignment="1">
      <alignment wrapText="1"/>
    </xf>
    <xf numFmtId="0" fontId="5" fillId="0" borderId="10" xfId="0" applyFont="1" applyBorder="1"/>
    <xf numFmtId="0" fontId="10" fillId="0" borderId="0" xfId="0" applyFont="1"/>
    <xf numFmtId="0" fontId="2" fillId="4" borderId="11" xfId="0" applyFont="1" applyFill="1" applyBorder="1"/>
    <xf numFmtId="0" fontId="11" fillId="0" borderId="0" xfId="0" applyFont="1"/>
    <xf numFmtId="0" fontId="7" fillId="0" borderId="14" xfId="0" applyFont="1" applyBorder="1"/>
    <xf numFmtId="0" fontId="5" fillId="4" borderId="14" xfId="0" applyFont="1" applyFill="1" applyBorder="1"/>
    <xf numFmtId="0" fontId="5" fillId="0" borderId="0" xfId="0" applyFont="1"/>
    <xf numFmtId="0" fontId="5" fillId="0" borderId="21" xfId="0" applyFont="1" applyBorder="1"/>
    <xf numFmtId="0" fontId="5" fillId="0" borderId="22" xfId="0" applyFont="1" applyBorder="1"/>
    <xf numFmtId="0" fontId="5" fillId="4" borderId="11" xfId="0" applyFont="1" applyFill="1" applyBorder="1"/>
    <xf numFmtId="0" fontId="12" fillId="0" borderId="12" xfId="0" applyFont="1" applyBorder="1"/>
    <xf numFmtId="0" fontId="10" fillId="0" borderId="12" xfId="0" applyFont="1" applyBorder="1"/>
    <xf numFmtId="0" fontId="5" fillId="4" borderId="12" xfId="0" applyFont="1" applyFill="1" applyBorder="1"/>
    <xf numFmtId="0" fontId="5" fillId="4" borderId="15" xfId="0" applyFont="1" applyFill="1" applyBorder="1"/>
    <xf numFmtId="0" fontId="5" fillId="4" borderId="12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15" xfId="0" applyFont="1" applyFill="1" applyBorder="1"/>
    <xf numFmtId="0" fontId="10" fillId="2" borderId="14" xfId="0" applyFont="1" applyFill="1" applyBorder="1"/>
    <xf numFmtId="0" fontId="10" fillId="0" borderId="11" xfId="0" applyFont="1" applyBorder="1"/>
    <xf numFmtId="0" fontId="10" fillId="0" borderId="15" xfId="0" applyFont="1" applyBorder="1"/>
    <xf numFmtId="0" fontId="10" fillId="0" borderId="14" xfId="0" applyFont="1" applyBorder="1"/>
    <xf numFmtId="0" fontId="7" fillId="0" borderId="11" xfId="0" applyFont="1" applyBorder="1"/>
    <xf numFmtId="0" fontId="5" fillId="5" borderId="14" xfId="0" applyFont="1" applyFill="1" applyBorder="1"/>
    <xf numFmtId="0" fontId="5" fillId="5" borderId="11" xfId="0" applyFont="1" applyFill="1" applyBorder="1"/>
    <xf numFmtId="0" fontId="5" fillId="5" borderId="15" xfId="0" applyFont="1" applyFill="1" applyBorder="1"/>
    <xf numFmtId="0" fontId="5" fillId="5" borderId="15" xfId="0" applyFont="1" applyFill="1" applyBorder="1" applyAlignment="1">
      <alignment wrapText="1"/>
    </xf>
    <xf numFmtId="0" fontId="13" fillId="0" borderId="0" xfId="0" applyFont="1"/>
    <xf numFmtId="0" fontId="13" fillId="6" borderId="0" xfId="0" applyFont="1" applyFill="1"/>
    <xf numFmtId="0" fontId="14" fillId="6" borderId="0" xfId="0" applyFont="1" applyFill="1"/>
    <xf numFmtId="0" fontId="16" fillId="6" borderId="0" xfId="0" applyFont="1" applyFill="1"/>
    <xf numFmtId="0" fontId="16" fillId="3" borderId="0" xfId="0" applyFont="1" applyFill="1"/>
    <xf numFmtId="0" fontId="17" fillId="7" borderId="0" xfId="0" applyFont="1" applyFill="1"/>
    <xf numFmtId="0" fontId="16" fillId="7" borderId="0" xfId="0" applyFont="1" applyFill="1"/>
    <xf numFmtId="0" fontId="18" fillId="7" borderId="0" xfId="0" applyFont="1" applyFill="1"/>
    <xf numFmtId="0" fontId="17" fillId="6" borderId="0" xfId="0" applyFont="1" applyFill="1"/>
    <xf numFmtId="0" fontId="20" fillId="6" borderId="0" xfId="0" applyFont="1" applyFill="1"/>
    <xf numFmtId="0" fontId="21" fillId="0" borderId="0" xfId="0" applyFont="1" applyAlignment="1">
      <alignment wrapText="1"/>
    </xf>
    <xf numFmtId="0" fontId="22" fillId="8" borderId="24" xfId="0" applyFont="1" applyFill="1" applyBorder="1"/>
    <xf numFmtId="0" fontId="23" fillId="0" borderId="25" xfId="0" applyFont="1" applyBorder="1"/>
    <xf numFmtId="0" fontId="23" fillId="0" borderId="23" xfId="0" applyFont="1" applyBorder="1"/>
    <xf numFmtId="0" fontId="23" fillId="0" borderId="26" xfId="0" applyFont="1" applyBorder="1" applyAlignment="1">
      <alignment wrapText="1"/>
    </xf>
    <xf numFmtId="0" fontId="23" fillId="0" borderId="27" xfId="0" applyFont="1" applyBorder="1"/>
    <xf numFmtId="0" fontId="23" fillId="0" borderId="24" xfId="0" applyFont="1" applyBorder="1"/>
    <xf numFmtId="0" fontId="24" fillId="8" borderId="25" xfId="0" applyFont="1" applyFill="1" applyBorder="1"/>
    <xf numFmtId="0" fontId="24" fillId="8" borderId="23" xfId="0" applyFont="1" applyFill="1" applyBorder="1"/>
    <xf numFmtId="0" fontId="24" fillId="8" borderId="28" xfId="0" applyFont="1" applyFill="1" applyBorder="1"/>
    <xf numFmtId="0" fontId="24" fillId="8" borderId="27" xfId="0" applyFont="1" applyFill="1" applyBorder="1"/>
    <xf numFmtId="0" fontId="24" fillId="0" borderId="24" xfId="0" applyFont="1" applyBorder="1"/>
    <xf numFmtId="0" fontId="5" fillId="4" borderId="25" xfId="0" applyFont="1" applyFill="1" applyBorder="1"/>
    <xf numFmtId="0" fontId="22" fillId="4" borderId="28" xfId="0" applyFont="1" applyFill="1" applyBorder="1"/>
    <xf numFmtId="0" fontId="22" fillId="4" borderId="27" xfId="0" applyFont="1" applyFill="1" applyBorder="1"/>
    <xf numFmtId="0" fontId="22" fillId="4" borderId="25" xfId="0" applyFont="1" applyFill="1" applyBorder="1"/>
    <xf numFmtId="0" fontId="22" fillId="4" borderId="28" xfId="0" applyFont="1" applyFill="1" applyBorder="1" applyAlignment="1">
      <alignment wrapText="1"/>
    </xf>
    <xf numFmtId="0" fontId="24" fillId="8" borderId="24" xfId="0" applyFont="1" applyFill="1" applyBorder="1"/>
    <xf numFmtId="0" fontId="22" fillId="8" borderId="25" xfId="0" applyFont="1" applyFill="1" applyBorder="1"/>
    <xf numFmtId="0" fontId="22" fillId="8" borderId="23" xfId="0" applyFont="1" applyFill="1" applyBorder="1"/>
    <xf numFmtId="0" fontId="22" fillId="8" borderId="28" xfId="0" applyFont="1" applyFill="1" applyBorder="1"/>
    <xf numFmtId="0" fontId="22" fillId="8" borderId="27" xfId="0" applyFont="1" applyFill="1" applyBorder="1"/>
    <xf numFmtId="0" fontId="22" fillId="0" borderId="25" xfId="0" applyFont="1" applyBorder="1"/>
    <xf numFmtId="0" fontId="22" fillId="0" borderId="23" xfId="0" applyFont="1" applyBorder="1"/>
    <xf numFmtId="0" fontId="22" fillId="0" borderId="28" xfId="0" applyFont="1" applyBorder="1"/>
    <xf numFmtId="0" fontId="22" fillId="0" borderId="27" xfId="0" applyFont="1" applyBorder="1"/>
    <xf numFmtId="0" fontId="23" fillId="0" borderId="25" xfId="0" applyFont="1" applyBorder="1" applyAlignment="1">
      <alignment wrapText="1"/>
    </xf>
    <xf numFmtId="0" fontId="24" fillId="0" borderId="24" xfId="0" applyFont="1" applyBorder="1" applyAlignment="1">
      <alignment wrapText="1"/>
    </xf>
    <xf numFmtId="0" fontId="22" fillId="0" borderId="28" xfId="0" applyFont="1" applyBorder="1" applyAlignment="1">
      <alignment wrapText="1"/>
    </xf>
    <xf numFmtId="0" fontId="25" fillId="0" borderId="0" xfId="0" applyFont="1"/>
    <xf numFmtId="0" fontId="23" fillId="8" borderId="24" xfId="0" applyFont="1" applyFill="1" applyBorder="1"/>
    <xf numFmtId="0" fontId="26" fillId="0" borderId="23" xfId="0" applyFont="1" applyBorder="1"/>
    <xf numFmtId="0" fontId="27" fillId="0" borderId="23" xfId="0" applyFont="1" applyBorder="1"/>
    <xf numFmtId="0" fontId="25" fillId="0" borderId="23" xfId="0" applyFont="1" applyBorder="1"/>
    <xf numFmtId="0" fontId="28" fillId="9" borderId="15" xfId="0" applyFont="1" applyFill="1" applyBorder="1"/>
    <xf numFmtId="0" fontId="28" fillId="9" borderId="10" xfId="0" applyFont="1" applyFill="1" applyBorder="1"/>
    <xf numFmtId="0" fontId="28" fillId="9" borderId="11" xfId="0" applyFont="1" applyFill="1" applyBorder="1"/>
    <xf numFmtId="0" fontId="28" fillId="9" borderId="12" xfId="0" applyFont="1" applyFill="1" applyBorder="1"/>
    <xf numFmtId="0" fontId="28" fillId="9" borderId="14" xfId="0" applyFont="1" applyFill="1" applyBorder="1"/>
    <xf numFmtId="0" fontId="0" fillId="9" borderId="0" xfId="0" applyFill="1"/>
    <xf numFmtId="0" fontId="7" fillId="9" borderId="10" xfId="0" applyFont="1" applyFill="1" applyBorder="1"/>
    <xf numFmtId="0" fontId="5" fillId="9" borderId="11" xfId="0" applyFont="1" applyFill="1" applyBorder="1"/>
    <xf numFmtId="0" fontId="5" fillId="9" borderId="12" xfId="0" applyFont="1" applyFill="1" applyBorder="1"/>
    <xf numFmtId="0" fontId="5" fillId="9" borderId="15" xfId="0" applyFont="1" applyFill="1" applyBorder="1"/>
    <xf numFmtId="0" fontId="5" fillId="9" borderId="14" xfId="0" applyFont="1" applyFill="1" applyBorder="1"/>
    <xf numFmtId="0" fontId="5" fillId="9" borderId="10" xfId="0" applyFont="1" applyFill="1" applyBorder="1"/>
    <xf numFmtId="0" fontId="7" fillId="9" borderId="11" xfId="0" applyFont="1" applyFill="1" applyBorder="1"/>
    <xf numFmtId="0" fontId="7" fillId="9" borderId="12" xfId="0" applyFont="1" applyFill="1" applyBorder="1"/>
    <xf numFmtId="0" fontId="7" fillId="9" borderId="15" xfId="0" applyFont="1" applyFill="1" applyBorder="1"/>
    <xf numFmtId="0" fontId="7" fillId="9" borderId="14" xfId="0" applyFont="1" applyFill="1" applyBorder="1"/>
    <xf numFmtId="0" fontId="6" fillId="9" borderId="11" xfId="0" applyFont="1" applyFill="1" applyBorder="1"/>
    <xf numFmtId="0" fontId="6" fillId="9" borderId="12" xfId="0" applyFont="1" applyFill="1" applyBorder="1"/>
    <xf numFmtId="0" fontId="6" fillId="9" borderId="13" xfId="0" applyFont="1" applyFill="1" applyBorder="1" applyAlignment="1">
      <alignment wrapText="1"/>
    </xf>
    <xf numFmtId="0" fontId="6" fillId="9" borderId="14" xfId="0" applyFont="1" applyFill="1" applyBorder="1"/>
    <xf numFmtId="0" fontId="6" fillId="9" borderId="10" xfId="0" applyFont="1" applyFill="1" applyBorder="1"/>
    <xf numFmtId="0" fontId="5" fillId="9" borderId="12" xfId="0" applyFont="1" applyFill="1" applyBorder="1" applyAlignment="1">
      <alignment wrapText="1"/>
    </xf>
    <xf numFmtId="0" fontId="5" fillId="9" borderId="15" xfId="0" applyFont="1" applyFill="1" applyBorder="1" applyAlignment="1">
      <alignment wrapText="1"/>
    </xf>
    <xf numFmtId="0" fontId="7" fillId="9" borderId="10" xfId="0" applyFont="1" applyFill="1" applyBorder="1" applyAlignment="1">
      <alignment wrapText="1"/>
    </xf>
    <xf numFmtId="0" fontId="4" fillId="9" borderId="10" xfId="0" applyFont="1" applyFill="1" applyBorder="1"/>
    <xf numFmtId="0" fontId="5" fillId="9" borderId="11" xfId="0" applyFont="1" applyFill="1" applyBorder="1" applyAlignment="1">
      <alignment wrapText="1"/>
    </xf>
    <xf numFmtId="0" fontId="5" fillId="9" borderId="21" xfId="0" applyFont="1" applyFill="1" applyBorder="1"/>
    <xf numFmtId="0" fontId="5" fillId="9" borderId="22" xfId="0" applyFont="1" applyFill="1" applyBorder="1"/>
    <xf numFmtId="0" fontId="6" fillId="9" borderId="22" xfId="0" applyFont="1" applyFill="1" applyBorder="1" applyAlignment="1">
      <alignment wrapText="1"/>
    </xf>
    <xf numFmtId="0" fontId="8" fillId="9" borderId="23" xfId="0" applyFont="1" applyFill="1" applyBorder="1"/>
    <xf numFmtId="0" fontId="9" fillId="9" borderId="23" xfId="0" applyFont="1" applyFill="1" applyBorder="1"/>
    <xf numFmtId="0" fontId="10" fillId="9" borderId="23" xfId="0" applyFont="1" applyFill="1" applyBorder="1"/>
    <xf numFmtId="0" fontId="29" fillId="10" borderId="29" xfId="0" applyFont="1" applyFill="1" applyBorder="1" applyAlignment="1">
      <alignment readingOrder="1"/>
    </xf>
    <xf numFmtId="0" fontId="30" fillId="0" borderId="30" xfId="0" applyFont="1" applyBorder="1" applyAlignment="1">
      <alignment readingOrder="1"/>
    </xf>
    <xf numFmtId="0" fontId="30" fillId="0" borderId="30" xfId="0" applyFont="1" applyBorder="1" applyAlignment="1">
      <alignment wrapText="1" readingOrder="1"/>
    </xf>
    <xf numFmtId="0" fontId="30" fillId="0" borderId="31" xfId="0" applyFont="1" applyBorder="1" applyAlignment="1">
      <alignment readingOrder="1"/>
    </xf>
    <xf numFmtId="0" fontId="29" fillId="10" borderId="32" xfId="0" applyFont="1" applyFill="1" applyBorder="1" applyAlignment="1">
      <alignment readingOrder="1"/>
    </xf>
    <xf numFmtId="0" fontId="31" fillId="0" borderId="31" xfId="0" applyFont="1" applyBorder="1" applyAlignment="1">
      <alignment readingOrder="1"/>
    </xf>
    <xf numFmtId="0" fontId="32" fillId="11" borderId="32" xfId="0" applyFont="1" applyFill="1" applyBorder="1" applyAlignment="1">
      <alignment readingOrder="1"/>
    </xf>
    <xf numFmtId="0" fontId="32" fillId="11" borderId="32" xfId="0" applyFont="1" applyFill="1" applyBorder="1" applyAlignment="1">
      <alignment wrapText="1" readingOrder="1"/>
    </xf>
    <xf numFmtId="0" fontId="29" fillId="10" borderId="31" xfId="0" applyFont="1" applyFill="1" applyBorder="1" applyAlignment="1">
      <alignment readingOrder="1"/>
    </xf>
    <xf numFmtId="0" fontId="29" fillId="0" borderId="32" xfId="0" applyFont="1" applyBorder="1" applyAlignment="1">
      <alignment readingOrder="1"/>
    </xf>
    <xf numFmtId="0" fontId="32" fillId="0" borderId="32" xfId="0" applyFont="1" applyBorder="1" applyAlignment="1">
      <alignment readingOrder="1"/>
    </xf>
    <xf numFmtId="0" fontId="32" fillId="0" borderId="30" xfId="0" applyFont="1" applyBorder="1" applyAlignment="1">
      <alignment readingOrder="1"/>
    </xf>
    <xf numFmtId="0" fontId="29" fillId="10" borderId="12" xfId="0" applyFont="1" applyFill="1" applyBorder="1" applyAlignment="1">
      <alignment readingOrder="1"/>
    </xf>
    <xf numFmtId="0" fontId="29" fillId="10" borderId="30" xfId="0" applyFont="1" applyFill="1" applyBorder="1" applyAlignment="1">
      <alignment readingOrder="1"/>
    </xf>
    <xf numFmtId="0" fontId="29" fillId="0" borderId="33" xfId="0" applyFont="1" applyBorder="1" applyAlignment="1">
      <alignment readingOrder="1"/>
    </xf>
    <xf numFmtId="0" fontId="29" fillId="0" borderId="34" xfId="0" applyFont="1" applyBorder="1" applyAlignment="1">
      <alignment readingOrder="1"/>
    </xf>
    <xf numFmtId="0" fontId="33" fillId="0" borderId="35" xfId="0" applyFont="1" applyBorder="1" applyAlignment="1">
      <alignment readingOrder="1"/>
    </xf>
    <xf numFmtId="0" fontId="29" fillId="0" borderId="35" xfId="0" applyFont="1" applyBorder="1" applyAlignment="1">
      <alignment readingOrder="1"/>
    </xf>
    <xf numFmtId="0" fontId="33" fillId="0" borderId="32" xfId="0" applyFont="1" applyBorder="1" applyAlignment="1">
      <alignment readingOrder="1"/>
    </xf>
    <xf numFmtId="0" fontId="32" fillId="0" borderId="32" xfId="0" applyFont="1" applyBorder="1" applyAlignment="1">
      <alignment wrapText="1" readingOrder="1"/>
    </xf>
    <xf numFmtId="0" fontId="31" fillId="0" borderId="31" xfId="0" applyFont="1" applyBorder="1" applyAlignment="1">
      <alignment wrapText="1" readingOrder="1"/>
    </xf>
    <xf numFmtId="0" fontId="4" fillId="0" borderId="0" xfId="0" applyFont="1"/>
    <xf numFmtId="0" fontId="2" fillId="0" borderId="0" xfId="0" applyFont="1"/>
    <xf numFmtId="0" fontId="2" fillId="3" borderId="15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5" fillId="3" borderId="11" xfId="0" applyFont="1" applyFill="1" applyBorder="1" applyAlignment="1">
      <alignment wrapText="1"/>
    </xf>
    <xf numFmtId="0" fontId="6" fillId="0" borderId="15" xfId="0" applyFont="1" applyBorder="1" applyAlignment="1">
      <alignment wrapText="1"/>
    </xf>
    <xf numFmtId="0" fontId="7" fillId="0" borderId="12" xfId="0" applyFont="1" applyBorder="1"/>
    <xf numFmtId="0" fontId="7" fillId="0" borderId="15" xfId="0" applyFont="1" applyBorder="1"/>
    <xf numFmtId="0" fontId="35" fillId="0" borderId="0" xfId="0" applyFont="1"/>
    <xf numFmtId="0" fontId="7" fillId="0" borderId="12" xfId="0" applyFont="1" applyBorder="1" applyAlignment="1">
      <alignment wrapText="1"/>
    </xf>
    <xf numFmtId="0" fontId="35" fillId="0" borderId="12" xfId="0" applyFont="1" applyBorder="1"/>
    <xf numFmtId="0" fontId="5" fillId="0" borderId="36" xfId="0" applyFont="1" applyBorder="1"/>
    <xf numFmtId="0" fontId="6" fillId="0" borderId="12" xfId="0" applyFont="1" applyBorder="1" applyAlignment="1">
      <alignment wrapText="1"/>
    </xf>
    <xf numFmtId="0" fontId="36" fillId="0" borderId="12" xfId="0" applyFont="1" applyBorder="1"/>
    <xf numFmtId="0" fontId="37" fillId="0" borderId="12" xfId="0" applyFont="1" applyBorder="1"/>
    <xf numFmtId="0" fontId="5" fillId="2" borderId="36" xfId="0" applyFont="1" applyFill="1" applyBorder="1"/>
    <xf numFmtId="0" fontId="37" fillId="0" borderId="0" xfId="0" applyFont="1"/>
    <xf numFmtId="0" fontId="6" fillId="2" borderId="12" xfId="0" applyFont="1" applyFill="1" applyBorder="1"/>
    <xf numFmtId="0" fontId="22" fillId="3" borderId="0" xfId="0" applyFont="1" applyFill="1"/>
    <xf numFmtId="0" fontId="38" fillId="0" borderId="0" xfId="0" applyFont="1"/>
    <xf numFmtId="0" fontId="5" fillId="6" borderId="11" xfId="0" applyFont="1" applyFill="1" applyBorder="1"/>
    <xf numFmtId="0" fontId="5" fillId="6" borderId="15" xfId="0" applyFont="1" applyFill="1" applyBorder="1"/>
    <xf numFmtId="0" fontId="5" fillId="6" borderId="14" xfId="0" applyFont="1" applyFill="1" applyBorder="1"/>
    <xf numFmtId="0" fontId="5" fillId="6" borderId="15" xfId="0" applyFont="1" applyFill="1" applyBorder="1" applyAlignment="1">
      <alignment wrapText="1"/>
    </xf>
    <xf numFmtId="0" fontId="39" fillId="0" borderId="0" xfId="0" applyFont="1"/>
    <xf numFmtId="0" fontId="40" fillId="0" borderId="12" xfId="0" applyFont="1" applyBorder="1"/>
    <xf numFmtId="0" fontId="7" fillId="4" borderId="12" xfId="0" applyFont="1" applyFill="1" applyBorder="1"/>
    <xf numFmtId="0" fontId="7" fillId="4" borderId="12" xfId="0" applyFont="1" applyFill="1" applyBorder="1" applyAlignment="1">
      <alignment wrapText="1"/>
    </xf>
    <xf numFmtId="0" fontId="7" fillId="3" borderId="12" xfId="0" applyFont="1" applyFill="1" applyBorder="1"/>
    <xf numFmtId="0" fontId="7" fillId="3" borderId="12" xfId="0" applyFont="1" applyFill="1" applyBorder="1" applyAlignment="1">
      <alignment wrapText="1"/>
    </xf>
    <xf numFmtId="0" fontId="7" fillId="6" borderId="12" xfId="0" applyFont="1" applyFill="1" applyBorder="1" applyAlignment="1">
      <alignment wrapText="1"/>
    </xf>
    <xf numFmtId="0" fontId="7" fillId="6" borderId="12" xfId="0" applyFont="1" applyFill="1" applyBorder="1"/>
    <xf numFmtId="0" fontId="7" fillId="3" borderId="14" xfId="0" applyFont="1" applyFill="1" applyBorder="1"/>
    <xf numFmtId="0" fontId="40" fillId="4" borderId="12" xfId="0" applyFont="1" applyFill="1" applyBorder="1" applyAlignment="1">
      <alignment wrapText="1"/>
    </xf>
    <xf numFmtId="0" fontId="41" fillId="0" borderId="0" xfId="0" applyFont="1"/>
    <xf numFmtId="0" fontId="42" fillId="3" borderId="12" xfId="0" applyFont="1" applyFill="1" applyBorder="1" applyAlignment="1">
      <alignment wrapText="1"/>
    </xf>
    <xf numFmtId="0" fontId="42" fillId="3" borderId="14" xfId="0" applyFont="1" applyFill="1" applyBorder="1"/>
    <xf numFmtId="0" fontId="43" fillId="3" borderId="12" xfId="0" applyFont="1" applyFill="1" applyBorder="1" applyAlignment="1">
      <alignment wrapText="1"/>
    </xf>
    <xf numFmtId="0" fontId="43" fillId="3" borderId="12" xfId="0" applyFont="1" applyFill="1" applyBorder="1"/>
    <xf numFmtId="0" fontId="7" fillId="3" borderId="11" xfId="0" applyFont="1" applyFill="1" applyBorder="1"/>
    <xf numFmtId="0" fontId="4" fillId="3" borderId="12" xfId="0" applyFont="1" applyFill="1" applyBorder="1" applyAlignment="1">
      <alignment wrapText="1"/>
    </xf>
    <xf numFmtId="0" fontId="44" fillId="3" borderId="14" xfId="0" applyFont="1" applyFill="1" applyBorder="1"/>
    <xf numFmtId="0" fontId="4" fillId="0" borderId="12" xfId="0" applyFont="1" applyBorder="1"/>
    <xf numFmtId="0" fontId="4" fillId="3" borderId="12" xfId="0" applyFont="1" applyFill="1" applyBorder="1"/>
    <xf numFmtId="0" fontId="4" fillId="3" borderId="14" xfId="0" applyFont="1" applyFill="1" applyBorder="1"/>
    <xf numFmtId="0" fontId="4" fillId="3" borderId="11" xfId="0" applyFont="1" applyFill="1" applyBorder="1"/>
    <xf numFmtId="0" fontId="7" fillId="3" borderId="15" xfId="0" applyFont="1" applyFill="1" applyBorder="1" applyAlignment="1">
      <alignment wrapText="1"/>
    </xf>
    <xf numFmtId="0" fontId="7" fillId="3" borderId="15" xfId="0" applyFont="1" applyFill="1" applyBorder="1"/>
    <xf numFmtId="0" fontId="45" fillId="0" borderId="0" xfId="0" applyFont="1" applyAlignment="1">
      <alignment wrapText="1"/>
    </xf>
    <xf numFmtId="0" fontId="4" fillId="3" borderId="11" xfId="0" applyFont="1" applyFill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7" fillId="4" borderId="11" xfId="0" applyFont="1" applyFill="1" applyBorder="1"/>
    <xf numFmtId="0" fontId="7" fillId="5" borderId="12" xfId="0" applyFont="1" applyFill="1" applyBorder="1"/>
    <xf numFmtId="0" fontId="7" fillId="5" borderId="11" xfId="0" applyFont="1" applyFill="1" applyBorder="1"/>
    <xf numFmtId="0" fontId="31" fillId="11" borderId="32" xfId="0" applyFont="1" applyFill="1" applyBorder="1" applyAlignment="1">
      <alignment readingOrder="1"/>
    </xf>
    <xf numFmtId="0" fontId="31" fillId="11" borderId="32" xfId="0" applyFont="1" applyFill="1" applyBorder="1" applyAlignment="1">
      <alignment wrapText="1" readingOrder="1"/>
    </xf>
    <xf numFmtId="0" fontId="31" fillId="0" borderId="32" xfId="0" applyFont="1" applyBorder="1" applyAlignment="1">
      <alignment readingOrder="1"/>
    </xf>
    <xf numFmtId="0" fontId="31" fillId="0" borderId="32" xfId="0" applyFont="1" applyBorder="1" applyAlignment="1">
      <alignment wrapText="1" readingOrder="1"/>
    </xf>
    <xf numFmtId="0" fontId="24" fillId="4" borderId="23" xfId="0" applyFont="1" applyFill="1" applyBorder="1"/>
    <xf numFmtId="0" fontId="24" fillId="0" borderId="25" xfId="0" applyFont="1" applyBorder="1"/>
    <xf numFmtId="0" fontId="24" fillId="0" borderId="23" xfId="0" applyFont="1" applyBorder="1"/>
    <xf numFmtId="0" fontId="24" fillId="4" borderId="25" xfId="0" applyFont="1" applyFill="1" applyBorder="1"/>
    <xf numFmtId="0" fontId="24" fillId="4" borderId="23" xfId="0" applyFont="1" applyFill="1" applyBorder="1" applyAlignment="1">
      <alignment wrapText="1"/>
    </xf>
    <xf numFmtId="0" fontId="7" fillId="3" borderId="18" xfId="0" applyFont="1" applyFill="1" applyBorder="1"/>
    <xf numFmtId="0" fontId="7" fillId="3" borderId="18" xfId="0" applyFont="1" applyFill="1" applyBorder="1" applyAlignment="1">
      <alignment wrapText="1"/>
    </xf>
    <xf numFmtId="0" fontId="7" fillId="0" borderId="18" xfId="0" applyFont="1" applyBorder="1"/>
    <xf numFmtId="0" fontId="42" fillId="2" borderId="10" xfId="0" applyFont="1" applyFill="1" applyBorder="1"/>
    <xf numFmtId="0" fontId="46" fillId="0" borderId="11" xfId="0" applyFont="1" applyBorder="1"/>
    <xf numFmtId="0" fontId="46" fillId="0" borderId="12" xfId="0" applyFont="1" applyBorder="1"/>
    <xf numFmtId="0" fontId="46" fillId="0" borderId="13" xfId="0" applyFont="1" applyBorder="1" applyAlignment="1">
      <alignment wrapText="1"/>
    </xf>
    <xf numFmtId="0" fontId="46" fillId="0" borderId="14" xfId="0" applyFont="1" applyBorder="1"/>
    <xf numFmtId="0" fontId="46" fillId="0" borderId="10" xfId="0" applyFont="1" applyBorder="1"/>
    <xf numFmtId="0" fontId="43" fillId="2" borderId="11" xfId="0" applyFont="1" applyFill="1" applyBorder="1"/>
    <xf numFmtId="0" fontId="43" fillId="2" borderId="12" xfId="0" applyFont="1" applyFill="1" applyBorder="1"/>
    <xf numFmtId="0" fontId="43" fillId="2" borderId="15" xfId="0" applyFont="1" applyFill="1" applyBorder="1"/>
    <xf numFmtId="0" fontId="43" fillId="2" borderId="14" xfId="0" applyFont="1" applyFill="1" applyBorder="1"/>
    <xf numFmtId="0" fontId="43" fillId="0" borderId="10" xfId="0" applyFont="1" applyBorder="1"/>
    <xf numFmtId="0" fontId="42" fillId="3" borderId="11" xfId="0" applyFont="1" applyFill="1" applyBorder="1"/>
    <xf numFmtId="0" fontId="42" fillId="3" borderId="15" xfId="0" applyFont="1" applyFill="1" applyBorder="1"/>
    <xf numFmtId="0" fontId="42" fillId="3" borderId="15" xfId="0" applyFont="1" applyFill="1" applyBorder="1" applyAlignment="1">
      <alignment wrapText="1"/>
    </xf>
    <xf numFmtId="0" fontId="43" fillId="2" borderId="10" xfId="0" applyFont="1" applyFill="1" applyBorder="1"/>
    <xf numFmtId="0" fontId="42" fillId="2" borderId="11" xfId="0" applyFont="1" applyFill="1" applyBorder="1"/>
    <xf numFmtId="0" fontId="42" fillId="2" borderId="12" xfId="0" applyFont="1" applyFill="1" applyBorder="1"/>
    <xf numFmtId="0" fontId="42" fillId="2" borderId="15" xfId="0" applyFont="1" applyFill="1" applyBorder="1"/>
    <xf numFmtId="0" fontId="42" fillId="2" borderId="14" xfId="0" applyFont="1" applyFill="1" applyBorder="1"/>
    <xf numFmtId="0" fontId="42" fillId="0" borderId="11" xfId="0" applyFont="1" applyBorder="1"/>
    <xf numFmtId="0" fontId="42" fillId="0" borderId="12" xfId="0" applyFont="1" applyBorder="1"/>
    <xf numFmtId="0" fontId="42" fillId="0" borderId="15" xfId="0" applyFont="1" applyBorder="1"/>
    <xf numFmtId="0" fontId="42" fillId="0" borderId="14" xfId="0" applyFont="1" applyBorder="1"/>
    <xf numFmtId="0" fontId="46" fillId="0" borderId="11" xfId="0" applyFont="1" applyBorder="1" applyAlignment="1">
      <alignment wrapText="1"/>
    </xf>
    <xf numFmtId="0" fontId="47" fillId="0" borderId="10" xfId="0" applyFont="1" applyBorder="1"/>
    <xf numFmtId="0" fontId="42" fillId="2" borderId="21" xfId="0" applyFont="1" applyFill="1" applyBorder="1"/>
    <xf numFmtId="0" fontId="42" fillId="2" borderId="22" xfId="0" applyFont="1" applyFill="1" applyBorder="1"/>
    <xf numFmtId="0" fontId="46" fillId="0" borderId="22" xfId="0" applyFont="1" applyBorder="1" applyAlignment="1">
      <alignment wrapText="1"/>
    </xf>
    <xf numFmtId="0" fontId="48" fillId="0" borderId="0" xfId="0" applyFont="1"/>
    <xf numFmtId="0" fontId="46" fillId="2" borderId="10" xfId="0" applyFont="1" applyFill="1" applyBorder="1"/>
    <xf numFmtId="0" fontId="49" fillId="0" borderId="23" xfId="0" applyFont="1" applyBorder="1"/>
    <xf numFmtId="0" fontId="48" fillId="0" borderId="23" xfId="0" applyFont="1" applyBorder="1"/>
    <xf numFmtId="0" fontId="50" fillId="0" borderId="23" xfId="0" applyFont="1" applyBorder="1"/>
    <xf numFmtId="0" fontId="43" fillId="0" borderId="12" xfId="0" applyFont="1" applyBorder="1"/>
    <xf numFmtId="0" fontId="24" fillId="3" borderId="0" xfId="0" applyFont="1" applyFill="1"/>
    <xf numFmtId="0" fontId="24" fillId="0" borderId="0" xfId="0" applyFont="1"/>
    <xf numFmtId="0" fontId="1" fillId="11" borderId="0" xfId="0" applyFont="1" applyFill="1"/>
    <xf numFmtId="0" fontId="1" fillId="9" borderId="0" xfId="0" applyFont="1" applyFill="1"/>
    <xf numFmtId="0" fontId="22" fillId="0" borderId="32" xfId="0" applyFont="1" applyBorder="1" applyAlignment="1">
      <alignment readingOrder="1"/>
    </xf>
    <xf numFmtId="0" fontId="6" fillId="0" borderId="0" xfId="0" applyFont="1" applyAlignment="1">
      <alignment wrapText="1"/>
    </xf>
    <xf numFmtId="0" fontId="12" fillId="0" borderId="0" xfId="0" applyFont="1"/>
    <xf numFmtId="0" fontId="5" fillId="0" borderId="12" xfId="0" applyFont="1" applyBorder="1" applyAlignment="1">
      <alignment wrapText="1"/>
    </xf>
    <xf numFmtId="0" fontId="51" fillId="0" borderId="0" xfId="0" applyFont="1"/>
    <xf numFmtId="0" fontId="52" fillId="0" borderId="10" xfId="0" applyFont="1" applyBorder="1"/>
    <xf numFmtId="0" fontId="53" fillId="0" borderId="11" xfId="0" applyFont="1" applyBorder="1"/>
    <xf numFmtId="0" fontId="53" fillId="0" borderId="12" xfId="0" applyFont="1" applyBorder="1"/>
    <xf numFmtId="0" fontId="53" fillId="0" borderId="15" xfId="0" applyFont="1" applyBorder="1"/>
    <xf numFmtId="0" fontId="53" fillId="0" borderId="14" xfId="0" applyFont="1" applyBorder="1"/>
    <xf numFmtId="0" fontId="0" fillId="11" borderId="0" xfId="0" applyFill="1"/>
    <xf numFmtId="0" fontId="54" fillId="0" borderId="10" xfId="0" applyFont="1" applyBorder="1"/>
    <xf numFmtId="0" fontId="55" fillId="0" borderId="11" xfId="0" applyFont="1" applyBorder="1"/>
    <xf numFmtId="0" fontId="55" fillId="0" borderId="16" xfId="0" applyFont="1" applyBorder="1" applyAlignment="1">
      <alignment wrapText="1"/>
    </xf>
    <xf numFmtId="0" fontId="55" fillId="0" borderId="14" xfId="0" applyFont="1" applyBorder="1"/>
    <xf numFmtId="0" fontId="55" fillId="0" borderId="17" xfId="0" applyFont="1" applyBorder="1"/>
    <xf numFmtId="0" fontId="56" fillId="0" borderId="18" xfId="0" applyFont="1" applyBorder="1"/>
    <xf numFmtId="0" fontId="56" fillId="0" borderId="19" xfId="0" applyFont="1" applyBorder="1"/>
    <xf numFmtId="0" fontId="56" fillId="0" borderId="20" xfId="0" applyFont="1" applyBorder="1"/>
    <xf numFmtId="0" fontId="56" fillId="0" borderId="17" xfId="0" applyFont="1" applyBorder="1"/>
    <xf numFmtId="0" fontId="54" fillId="4" borderId="18" xfId="0" applyFont="1" applyFill="1" applyBorder="1"/>
    <xf numFmtId="0" fontId="54" fillId="4" borderId="19" xfId="0" applyFont="1" applyFill="1" applyBorder="1"/>
    <xf numFmtId="0" fontId="54" fillId="4" borderId="20" xfId="0" applyFont="1" applyFill="1" applyBorder="1"/>
    <xf numFmtId="0" fontId="54" fillId="4" borderId="18" xfId="0" applyFont="1" applyFill="1" applyBorder="1" applyAlignment="1">
      <alignment wrapText="1"/>
    </xf>
    <xf numFmtId="0" fontId="54" fillId="4" borderId="19" xfId="0" applyFont="1" applyFill="1" applyBorder="1" applyAlignment="1">
      <alignment wrapText="1"/>
    </xf>
    <xf numFmtId="0" fontId="54" fillId="0" borderId="18" xfId="0" applyFont="1" applyBorder="1"/>
    <xf numFmtId="0" fontId="54" fillId="0" borderId="19" xfId="0" applyFont="1" applyBorder="1"/>
    <xf numFmtId="0" fontId="54" fillId="0" borderId="20" xfId="0" applyFont="1" applyBorder="1"/>
    <xf numFmtId="0" fontId="54" fillId="0" borderId="17" xfId="0" applyFont="1" applyBorder="1"/>
    <xf numFmtId="0" fontId="55" fillId="0" borderId="11" xfId="0" applyFont="1" applyBorder="1" applyAlignment="1">
      <alignment wrapText="1"/>
    </xf>
    <xf numFmtId="0" fontId="56" fillId="0" borderId="17" xfId="0" applyFont="1" applyBorder="1" applyAlignment="1">
      <alignment wrapText="1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164" fontId="1" fillId="0" borderId="0" xfId="0" applyNumberFormat="1" applyFont="1"/>
    <xf numFmtId="164" fontId="39" fillId="0" borderId="0" xfId="0" applyNumberFormat="1" applyFont="1"/>
    <xf numFmtId="0" fontId="19" fillId="7" borderId="0" xfId="0" applyFont="1" applyFill="1" applyAlignment="1">
      <alignment textRotation="90"/>
    </xf>
    <xf numFmtId="0" fontId="17" fillId="7" borderId="0" xfId="0" applyFont="1" applyFill="1" applyAlignment="1">
      <alignment textRotation="90"/>
    </xf>
    <xf numFmtId="0" fontId="0" fillId="0" borderId="0" xfId="0" applyFont="1"/>
    <xf numFmtId="0" fontId="13" fillId="6" borderId="0" xfId="0" applyFont="1" applyFill="1" applyAlignment="1"/>
    <xf numFmtId="0" fontId="14" fillId="6" borderId="0" xfId="0" applyFont="1" applyFill="1" applyAlignment="1"/>
    <xf numFmtId="0" fontId="15" fillId="6" borderId="0" xfId="0" applyFont="1" applyFill="1" applyAlignment="1"/>
    <xf numFmtId="0" fontId="17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25</xdr:col>
      <xdr:colOff>504825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1B09C-A5C4-C96C-49A4-51BDC98CC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"/>
          <a:ext cx="5991225" cy="227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A0C8-3A97-4E99-B146-315073336046}">
  <dimension ref="B2:H110"/>
  <sheetViews>
    <sheetView topLeftCell="B1" workbookViewId="0">
      <selection activeCell="B68" sqref="B68"/>
    </sheetView>
  </sheetViews>
  <sheetFormatPr defaultRowHeight="15"/>
  <cols>
    <col min="2" max="2" width="26.28515625" bestFit="1" customWidth="1"/>
  </cols>
  <sheetData>
    <row r="2" spans="2:7">
      <c r="B2" t="s">
        <v>0</v>
      </c>
    </row>
    <row r="5" spans="2:7">
      <c r="B5" s="10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2" t="s">
        <v>6</v>
      </c>
    </row>
    <row r="6" spans="2:7">
      <c r="B6" s="10" t="s">
        <v>7</v>
      </c>
      <c r="C6" s="2"/>
      <c r="D6" s="2"/>
      <c r="E6" s="2"/>
      <c r="F6" s="2"/>
      <c r="G6" s="3"/>
    </row>
    <row r="7" spans="2:7">
      <c r="B7" s="10" t="s">
        <v>8</v>
      </c>
      <c r="C7" s="2"/>
      <c r="D7" s="2"/>
      <c r="E7" s="2"/>
      <c r="F7" s="2"/>
      <c r="G7" s="3"/>
    </row>
    <row r="8" spans="2:7">
      <c r="B8" s="4" t="s">
        <v>8</v>
      </c>
      <c r="G8" s="5"/>
    </row>
    <row r="9" spans="2:7">
      <c r="B9" s="6" t="s">
        <v>8</v>
      </c>
      <c r="G9" s="5"/>
    </row>
    <row r="10" spans="2:7">
      <c r="B10" s="6" t="s">
        <v>8</v>
      </c>
      <c r="G10" s="5"/>
    </row>
    <row r="11" spans="2:7">
      <c r="B11" s="6" t="s">
        <v>8</v>
      </c>
      <c r="G11" s="5"/>
    </row>
    <row r="12" spans="2:7">
      <c r="B12" s="7" t="s">
        <v>8</v>
      </c>
      <c r="C12" s="8"/>
      <c r="D12" s="8"/>
      <c r="E12" s="8"/>
      <c r="F12" s="8"/>
      <c r="G12" s="9"/>
    </row>
    <row r="13" spans="2:7">
      <c r="B13" s="6" t="s">
        <v>9</v>
      </c>
      <c r="G13" s="5"/>
    </row>
    <row r="14" spans="2:7">
      <c r="B14" s="6" t="s">
        <v>10</v>
      </c>
      <c r="G14" s="5"/>
    </row>
    <row r="15" spans="2:7">
      <c r="B15" s="6" t="s">
        <v>11</v>
      </c>
      <c r="G15" s="5"/>
    </row>
    <row r="16" spans="2:7">
      <c r="B16" s="6" t="s">
        <v>12</v>
      </c>
      <c r="G16" s="5"/>
    </row>
    <row r="17" spans="2:7">
      <c r="B17" s="6" t="s">
        <v>13</v>
      </c>
      <c r="G17" s="5"/>
    </row>
    <row r="18" spans="2:7">
      <c r="B18" s="6" t="s">
        <v>13</v>
      </c>
      <c r="G18" s="5"/>
    </row>
    <row r="19" spans="2:7">
      <c r="B19" s="1" t="s">
        <v>14</v>
      </c>
      <c r="C19" s="2"/>
      <c r="D19" s="2"/>
      <c r="E19" s="2"/>
      <c r="F19" s="2"/>
      <c r="G19" s="3"/>
    </row>
    <row r="20" spans="2:7">
      <c r="B20" s="6"/>
      <c r="G20" s="5"/>
    </row>
    <row r="21" spans="2:7">
      <c r="B21" s="6"/>
      <c r="G21" s="5"/>
    </row>
    <row r="22" spans="2:7">
      <c r="B22" s="6"/>
      <c r="G22" s="5"/>
    </row>
    <row r="23" spans="2:7">
      <c r="B23" s="7"/>
      <c r="C23" s="8"/>
      <c r="D23" s="8"/>
      <c r="E23" s="8"/>
      <c r="F23" s="8"/>
      <c r="G23" s="5"/>
    </row>
    <row r="24" spans="2:7">
      <c r="B24" t="s">
        <v>15</v>
      </c>
      <c r="C24">
        <f>COUNTA(C6:C23)</f>
        <v>0</v>
      </c>
      <c r="F24" t="s">
        <v>6</v>
      </c>
      <c r="G24" s="13">
        <f>SUM(G6:G23)</f>
        <v>0</v>
      </c>
    </row>
    <row r="26" spans="2:7">
      <c r="B26" t="s">
        <v>16</v>
      </c>
    </row>
    <row r="29" spans="2:7">
      <c r="B29" s="10" t="s">
        <v>1</v>
      </c>
      <c r="C29" s="11" t="s">
        <v>2</v>
      </c>
      <c r="D29" s="11" t="s">
        <v>3</v>
      </c>
      <c r="E29" s="11" t="s">
        <v>4</v>
      </c>
      <c r="F29" s="11" t="s">
        <v>5</v>
      </c>
      <c r="G29" s="12" t="s">
        <v>6</v>
      </c>
    </row>
    <row r="30" spans="2:7">
      <c r="B30" s="10" t="s">
        <v>7</v>
      </c>
      <c r="C30" s="2"/>
      <c r="D30" s="2"/>
      <c r="E30" s="2"/>
      <c r="F30" s="2"/>
      <c r="G30" s="3"/>
    </row>
    <row r="31" spans="2:7">
      <c r="B31" s="10" t="s">
        <v>17</v>
      </c>
      <c r="C31" s="2"/>
      <c r="D31" s="2"/>
      <c r="E31" s="2"/>
      <c r="F31" s="2"/>
      <c r="G31" s="3"/>
    </row>
    <row r="32" spans="2:7">
      <c r="B32" s="4" t="s">
        <v>17</v>
      </c>
      <c r="G32" s="5"/>
    </row>
    <row r="33" spans="2:7">
      <c r="B33" s="1" t="s">
        <v>18</v>
      </c>
      <c r="C33" s="2"/>
      <c r="D33" s="2"/>
      <c r="E33" s="2"/>
      <c r="F33" s="2"/>
      <c r="G33" s="3"/>
    </row>
    <row r="34" spans="2:7">
      <c r="B34" s="6" t="s">
        <v>18</v>
      </c>
      <c r="G34" s="5"/>
    </row>
    <row r="35" spans="2:7">
      <c r="B35" s="7" t="s">
        <v>18</v>
      </c>
      <c r="C35" s="8"/>
      <c r="D35" s="8"/>
      <c r="E35" s="8"/>
      <c r="F35" s="8"/>
      <c r="G35" s="9"/>
    </row>
    <row r="36" spans="2:7">
      <c r="B36" s="6" t="s">
        <v>19</v>
      </c>
      <c r="G36" s="5"/>
    </row>
    <row r="37" spans="2:7">
      <c r="B37" s="6" t="s">
        <v>19</v>
      </c>
      <c r="G37" s="5"/>
    </row>
    <row r="38" spans="2:7">
      <c r="B38" s="6" t="s">
        <v>19</v>
      </c>
      <c r="G38" s="5"/>
    </row>
    <row r="39" spans="2:7">
      <c r="B39" s="1" t="s">
        <v>12</v>
      </c>
      <c r="C39" s="2"/>
      <c r="D39" s="2"/>
      <c r="E39" s="2"/>
      <c r="F39" s="2"/>
      <c r="G39" s="3"/>
    </row>
    <row r="40" spans="2:7">
      <c r="B40" s="6" t="s">
        <v>12</v>
      </c>
      <c r="G40" s="5"/>
    </row>
    <row r="41" spans="2:7">
      <c r="B41" s="7" t="s">
        <v>12</v>
      </c>
      <c r="C41" s="8"/>
      <c r="D41" s="8"/>
      <c r="E41" s="8"/>
      <c r="F41" s="8"/>
      <c r="G41" s="9"/>
    </row>
    <row r="42" spans="2:7">
      <c r="B42" s="6" t="s">
        <v>14</v>
      </c>
      <c r="G42" s="5"/>
    </row>
    <row r="43" spans="2:7">
      <c r="B43" s="6"/>
      <c r="G43" s="5"/>
    </row>
    <row r="44" spans="2:7">
      <c r="B44" s="6"/>
      <c r="G44" s="5"/>
    </row>
    <row r="45" spans="2:7">
      <c r="B45" s="6"/>
      <c r="G45" s="5"/>
    </row>
    <row r="46" spans="2:7">
      <c r="B46" s="7"/>
      <c r="C46" s="8"/>
      <c r="D46" s="8"/>
      <c r="E46" s="8"/>
      <c r="F46" s="8"/>
      <c r="G46" s="9"/>
    </row>
    <row r="49" spans="2:7">
      <c r="B49" t="s">
        <v>20</v>
      </c>
    </row>
    <row r="52" spans="2:7">
      <c r="B52" s="10" t="s">
        <v>1</v>
      </c>
      <c r="C52" s="11" t="s">
        <v>2</v>
      </c>
      <c r="D52" s="11" t="s">
        <v>3</v>
      </c>
      <c r="E52" s="11" t="s">
        <v>4</v>
      </c>
      <c r="F52" s="11" t="s">
        <v>5</v>
      </c>
      <c r="G52" s="12" t="s">
        <v>6</v>
      </c>
    </row>
    <row r="53" spans="2:7">
      <c r="B53" s="10" t="s">
        <v>7</v>
      </c>
      <c r="C53" s="2"/>
      <c r="D53" s="2"/>
      <c r="E53" s="2"/>
      <c r="F53" s="2"/>
      <c r="G53" s="3"/>
    </row>
    <row r="54" spans="2:7">
      <c r="B54" s="10" t="s">
        <v>21</v>
      </c>
      <c r="C54" s="2"/>
      <c r="D54" s="2"/>
      <c r="E54" s="2"/>
      <c r="F54" s="2"/>
      <c r="G54" s="3"/>
    </row>
    <row r="55" spans="2:7">
      <c r="B55" s="4" t="s">
        <v>21</v>
      </c>
      <c r="G55" s="5"/>
    </row>
    <row r="56" spans="2:7">
      <c r="B56" s="6" t="s">
        <v>21</v>
      </c>
      <c r="G56" s="5"/>
    </row>
    <row r="57" spans="2:7">
      <c r="B57" s="7" t="s">
        <v>21</v>
      </c>
      <c r="C57" s="8"/>
      <c r="D57" s="8"/>
      <c r="E57" s="8"/>
      <c r="F57" s="8"/>
      <c r="G57" s="9"/>
    </row>
    <row r="58" spans="2:7">
      <c r="B58" s="6" t="s">
        <v>22</v>
      </c>
      <c r="G58" s="5"/>
    </row>
    <row r="59" spans="2:7">
      <c r="B59" s="6" t="s">
        <v>22</v>
      </c>
      <c r="G59" s="5"/>
    </row>
    <row r="60" spans="2:7">
      <c r="B60" s="6" t="s">
        <v>22</v>
      </c>
      <c r="G60" s="5"/>
    </row>
    <row r="61" spans="2:7">
      <c r="B61" s="1" t="s">
        <v>14</v>
      </c>
      <c r="C61" s="2"/>
      <c r="D61" s="2"/>
      <c r="E61" s="2"/>
      <c r="F61" s="2"/>
      <c r="G61" s="3"/>
    </row>
    <row r="62" spans="2:7">
      <c r="B62" s="6"/>
      <c r="G62" s="5"/>
    </row>
    <row r="63" spans="2:7">
      <c r="B63" s="6"/>
      <c r="G63" s="5"/>
    </row>
    <row r="64" spans="2:7">
      <c r="B64" s="6"/>
      <c r="G64" s="5"/>
    </row>
    <row r="65" spans="2:7">
      <c r="B65" s="7"/>
      <c r="C65" s="8"/>
      <c r="D65" s="8"/>
      <c r="E65" s="8"/>
      <c r="F65" s="8"/>
      <c r="G65" s="9"/>
    </row>
    <row r="68" spans="2:7">
      <c r="B68" t="s">
        <v>23</v>
      </c>
    </row>
    <row r="71" spans="2:7">
      <c r="B71" s="10" t="s">
        <v>1</v>
      </c>
      <c r="C71" s="11" t="s">
        <v>2</v>
      </c>
      <c r="D71" s="11" t="s">
        <v>3</v>
      </c>
      <c r="E71" s="11" t="s">
        <v>4</v>
      </c>
      <c r="F71" s="11" t="s">
        <v>5</v>
      </c>
      <c r="G71" s="12" t="s">
        <v>6</v>
      </c>
    </row>
    <row r="72" spans="2:7">
      <c r="B72" s="10" t="s">
        <v>7</v>
      </c>
      <c r="C72" s="2"/>
      <c r="D72" s="2"/>
      <c r="E72" s="2"/>
      <c r="F72" s="2"/>
      <c r="G72" s="3"/>
    </row>
    <row r="73" spans="2:7">
      <c r="B73" s="10" t="s">
        <v>24</v>
      </c>
      <c r="C73" s="2"/>
      <c r="D73" s="2"/>
      <c r="E73" s="2"/>
      <c r="F73" s="2"/>
      <c r="G73" s="3"/>
    </row>
    <row r="74" spans="2:7">
      <c r="B74" s="6" t="s">
        <v>24</v>
      </c>
      <c r="G74" s="5"/>
    </row>
    <row r="75" spans="2:7">
      <c r="B75" s="6" t="s">
        <v>24</v>
      </c>
      <c r="G75" s="5"/>
    </row>
    <row r="76" spans="2:7">
      <c r="B76" s="7" t="s">
        <v>24</v>
      </c>
      <c r="C76" s="8"/>
      <c r="D76" s="8"/>
      <c r="E76" s="8"/>
      <c r="F76" s="8"/>
      <c r="G76" s="9"/>
    </row>
    <row r="77" spans="2:7">
      <c r="B77" s="1" t="s">
        <v>14</v>
      </c>
      <c r="C77" s="2"/>
      <c r="D77" s="2"/>
      <c r="E77" s="2"/>
      <c r="F77" s="2"/>
      <c r="G77" s="3"/>
    </row>
    <row r="78" spans="2:7">
      <c r="B78" s="6"/>
      <c r="G78" s="5"/>
    </row>
    <row r="79" spans="2:7">
      <c r="B79" s="6"/>
      <c r="G79" s="5"/>
    </row>
    <row r="80" spans="2:7">
      <c r="B80" s="6"/>
      <c r="G80" s="5"/>
    </row>
    <row r="81" spans="2:7">
      <c r="B81" s="7"/>
      <c r="C81" s="8"/>
      <c r="D81" s="8"/>
      <c r="E81" s="8"/>
      <c r="F81" s="8"/>
      <c r="G81" s="9"/>
    </row>
    <row r="82" spans="2:7">
      <c r="B82" t="s">
        <v>15</v>
      </c>
      <c r="C82">
        <f>COUNTA(C72:C81)</f>
        <v>0</v>
      </c>
      <c r="F82" t="s">
        <v>6</v>
      </c>
      <c r="G82" s="13">
        <f>SUM(G72:G81)</f>
        <v>0</v>
      </c>
    </row>
    <row r="84" spans="2:7">
      <c r="B84" t="s">
        <v>25</v>
      </c>
    </row>
    <row r="87" spans="2:7">
      <c r="B87" s="10" t="s">
        <v>1</v>
      </c>
      <c r="C87" s="11" t="s">
        <v>2</v>
      </c>
      <c r="D87" s="11" t="s">
        <v>3</v>
      </c>
      <c r="E87" s="11" t="s">
        <v>4</v>
      </c>
      <c r="F87" s="11" t="s">
        <v>5</v>
      </c>
      <c r="G87" s="12" t="s">
        <v>6</v>
      </c>
    </row>
    <row r="88" spans="2:7">
      <c r="B88" s="10" t="s">
        <v>26</v>
      </c>
      <c r="C88" s="2"/>
      <c r="D88" s="2"/>
      <c r="E88" s="2"/>
      <c r="F88" s="2"/>
      <c r="G88" s="3"/>
    </row>
    <row r="89" spans="2:7">
      <c r="B89" s="6" t="s">
        <v>27</v>
      </c>
      <c r="G89" s="5"/>
    </row>
    <row r="90" spans="2:7">
      <c r="B90" s="6" t="s">
        <v>27</v>
      </c>
      <c r="G90" s="5"/>
    </row>
    <row r="91" spans="2:7">
      <c r="B91" s="6" t="s">
        <v>27</v>
      </c>
      <c r="G91" s="5"/>
    </row>
    <row r="92" spans="2:7">
      <c r="B92" s="7" t="s">
        <v>27</v>
      </c>
      <c r="C92" s="8"/>
      <c r="D92" s="8"/>
      <c r="E92" s="8"/>
      <c r="F92" s="8"/>
      <c r="G92" s="9"/>
    </row>
    <row r="95" spans="2:7">
      <c r="B95" t="s">
        <v>28</v>
      </c>
    </row>
    <row r="98" spans="2:8">
      <c r="B98" s="10" t="s">
        <v>1</v>
      </c>
      <c r="C98" s="11" t="s">
        <v>2</v>
      </c>
      <c r="D98" s="11" t="s">
        <v>3</v>
      </c>
      <c r="E98" s="11" t="s">
        <v>4</v>
      </c>
      <c r="F98" s="11" t="s">
        <v>5</v>
      </c>
      <c r="G98" s="12" t="s">
        <v>6</v>
      </c>
    </row>
    <row r="99" spans="2:8">
      <c r="B99" s="10" t="s">
        <v>7</v>
      </c>
      <c r="C99" s="2"/>
      <c r="D99" s="2"/>
      <c r="E99" s="2"/>
      <c r="F99" s="2"/>
      <c r="G99" s="3"/>
    </row>
    <row r="100" spans="2:8">
      <c r="B100" s="10" t="s">
        <v>8</v>
      </c>
      <c r="C100" s="2"/>
      <c r="D100" s="2"/>
      <c r="E100" s="2"/>
      <c r="F100" s="2"/>
      <c r="G100" s="3"/>
    </row>
    <row r="101" spans="2:8">
      <c r="B101" s="6" t="s">
        <v>8</v>
      </c>
      <c r="G101" s="5"/>
    </row>
    <row r="102" spans="2:8">
      <c r="B102" s="6" t="s">
        <v>8</v>
      </c>
      <c r="G102" s="5"/>
    </row>
    <row r="103" spans="2:8">
      <c r="B103" s="7" t="s">
        <v>8</v>
      </c>
      <c r="C103" s="8"/>
      <c r="D103" s="8"/>
      <c r="E103" s="8"/>
      <c r="F103" s="8"/>
      <c r="G103" s="9"/>
    </row>
    <row r="104" spans="2:8">
      <c r="B104" s="6" t="s">
        <v>10</v>
      </c>
      <c r="G104" s="5"/>
    </row>
    <row r="105" spans="2:8">
      <c r="B105" s="6" t="s">
        <v>12</v>
      </c>
      <c r="G105" s="5"/>
    </row>
    <row r="106" spans="2:8">
      <c r="B106" s="1" t="s">
        <v>14</v>
      </c>
      <c r="C106" s="2"/>
      <c r="D106" s="2"/>
      <c r="E106" s="2"/>
      <c r="F106" s="2"/>
      <c r="G106" s="3"/>
      <c r="H106" t="s">
        <v>29</v>
      </c>
    </row>
    <row r="107" spans="2:8">
      <c r="B107" s="6"/>
      <c r="G107" s="5"/>
    </row>
    <row r="108" spans="2:8">
      <c r="B108" s="6"/>
      <c r="G108" s="5"/>
    </row>
    <row r="109" spans="2:8">
      <c r="B109" s="6"/>
      <c r="G109" s="5"/>
    </row>
    <row r="110" spans="2:8">
      <c r="B110" s="7"/>
      <c r="C110" s="8"/>
      <c r="D110" s="8"/>
      <c r="E110" s="8"/>
      <c r="F110" s="8"/>
      <c r="G110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6115-8003-49F4-AC5B-1503B5D8EF3B}">
  <dimension ref="A2:J21"/>
  <sheetViews>
    <sheetView workbookViewId="0">
      <selection activeCell="E32" sqref="E32"/>
    </sheetView>
  </sheetViews>
  <sheetFormatPr defaultRowHeight="15"/>
  <cols>
    <col min="1" max="1" width="17.7109375" bestFit="1" customWidth="1"/>
    <col min="11" max="11" width="26" bestFit="1" customWidth="1"/>
  </cols>
  <sheetData>
    <row r="2" spans="1:10"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 t="s">
        <v>37</v>
      </c>
    </row>
    <row r="3" spans="1:10">
      <c r="A3" t="s">
        <v>38</v>
      </c>
      <c r="B3" s="14" t="s">
        <v>39</v>
      </c>
      <c r="D3" s="14" t="s">
        <v>39</v>
      </c>
      <c r="G3" s="14" t="s">
        <v>39</v>
      </c>
      <c r="J3" t="s">
        <v>40</v>
      </c>
    </row>
    <row r="4" spans="1:10">
      <c r="A4" t="s">
        <v>41</v>
      </c>
      <c r="B4" s="14" t="s">
        <v>39</v>
      </c>
      <c r="C4" s="14" t="s">
        <v>39</v>
      </c>
      <c r="E4" s="14" t="s">
        <v>39</v>
      </c>
      <c r="J4" t="s">
        <v>40</v>
      </c>
    </row>
    <row r="5" spans="1:10">
      <c r="A5" t="s">
        <v>31</v>
      </c>
      <c r="C5" s="14" t="s">
        <v>39</v>
      </c>
      <c r="G5" s="14" t="s">
        <v>39</v>
      </c>
      <c r="H5" s="14" t="s">
        <v>39</v>
      </c>
      <c r="J5" t="s">
        <v>40</v>
      </c>
    </row>
    <row r="6" spans="1:10">
      <c r="A6" t="s">
        <v>42</v>
      </c>
      <c r="B6" s="14" t="s">
        <v>39</v>
      </c>
      <c r="C6" s="331" t="s">
        <v>39</v>
      </c>
      <c r="D6" s="14" t="s">
        <v>39</v>
      </c>
      <c r="J6" s="343" t="s">
        <v>40</v>
      </c>
    </row>
    <row r="7" spans="1:10">
      <c r="A7" t="s">
        <v>43</v>
      </c>
      <c r="B7" s="14" t="s">
        <v>39</v>
      </c>
      <c r="F7" s="14" t="s">
        <v>39</v>
      </c>
      <c r="H7" t="s">
        <v>39</v>
      </c>
      <c r="J7" t="s">
        <v>40</v>
      </c>
    </row>
    <row r="8" spans="1:10">
      <c r="A8" t="s">
        <v>44</v>
      </c>
      <c r="B8" s="14" t="s">
        <v>39</v>
      </c>
      <c r="C8" s="14" t="s">
        <v>39</v>
      </c>
      <c r="D8" s="14" t="s">
        <v>39</v>
      </c>
      <c r="J8" t="s">
        <v>40</v>
      </c>
    </row>
    <row r="9" spans="1:10">
      <c r="A9" t="s">
        <v>45</v>
      </c>
      <c r="C9" s="14" t="s">
        <v>39</v>
      </c>
      <c r="D9" s="14" t="s">
        <v>39</v>
      </c>
      <c r="F9" s="14" t="s">
        <v>39</v>
      </c>
      <c r="J9" t="s">
        <v>40</v>
      </c>
    </row>
    <row r="10" spans="1:10">
      <c r="A10" t="s">
        <v>46</v>
      </c>
      <c r="B10" s="14" t="s">
        <v>39</v>
      </c>
      <c r="D10" s="337" t="s">
        <v>39</v>
      </c>
      <c r="E10" s="14" t="s">
        <v>39</v>
      </c>
      <c r="J10" t="s">
        <v>40</v>
      </c>
    </row>
    <row r="11" spans="1:10">
      <c r="A11" t="s">
        <v>47</v>
      </c>
      <c r="B11" s="14" t="s">
        <v>39</v>
      </c>
      <c r="C11" s="14" t="s">
        <v>39</v>
      </c>
      <c r="F11" s="14" t="s">
        <v>39</v>
      </c>
      <c r="J11" t="s">
        <v>40</v>
      </c>
    </row>
    <row r="12" spans="1:10">
      <c r="A12" t="s">
        <v>48</v>
      </c>
      <c r="B12" s="14" t="s">
        <v>39</v>
      </c>
      <c r="C12" s="14" t="s">
        <v>39</v>
      </c>
      <c r="D12" s="14" t="s">
        <v>39</v>
      </c>
      <c r="J12" t="s">
        <v>40</v>
      </c>
    </row>
    <row r="13" spans="1:10">
      <c r="A13" t="s">
        <v>49</v>
      </c>
      <c r="B13" s="14" t="s">
        <v>39</v>
      </c>
      <c r="C13" s="14" t="s">
        <v>39</v>
      </c>
      <c r="D13" s="14" t="s">
        <v>39</v>
      </c>
      <c r="J13" t="s">
        <v>40</v>
      </c>
    </row>
    <row r="14" spans="1:10">
      <c r="A14" t="s">
        <v>50</v>
      </c>
      <c r="C14" s="14" t="s">
        <v>39</v>
      </c>
      <c r="D14" s="14" t="s">
        <v>39</v>
      </c>
      <c r="F14" s="14"/>
      <c r="G14" s="332" t="s">
        <v>39</v>
      </c>
      <c r="J14" t="s">
        <v>40</v>
      </c>
    </row>
    <row r="15" spans="1:10">
      <c r="A15" t="s">
        <v>51</v>
      </c>
      <c r="C15" s="14" t="s">
        <v>39</v>
      </c>
      <c r="D15" s="14" t="s">
        <v>39</v>
      </c>
      <c r="F15" s="14" t="s">
        <v>39</v>
      </c>
      <c r="J15" t="s">
        <v>40</v>
      </c>
    </row>
    <row r="16" spans="1:10">
      <c r="A16" t="s">
        <v>52</v>
      </c>
      <c r="B16" s="14" t="s">
        <v>39</v>
      </c>
      <c r="C16" s="14" t="s">
        <v>39</v>
      </c>
      <c r="F16" s="14" t="s">
        <v>39</v>
      </c>
      <c r="J16" t="s">
        <v>40</v>
      </c>
    </row>
    <row r="17" spans="1:10">
      <c r="A17" t="s">
        <v>53</v>
      </c>
      <c r="D17" s="14" t="s">
        <v>39</v>
      </c>
      <c r="E17" s="14" t="s">
        <v>39</v>
      </c>
      <c r="F17" s="14" t="s">
        <v>39</v>
      </c>
      <c r="J17" t="s">
        <v>40</v>
      </c>
    </row>
    <row r="18" spans="1:10">
      <c r="A18" t="s">
        <v>54</v>
      </c>
      <c r="B18" s="14" t="s">
        <v>39</v>
      </c>
      <c r="C18" s="14" t="s">
        <v>39</v>
      </c>
      <c r="F18" s="14" t="s">
        <v>39</v>
      </c>
      <c r="J18" t="s">
        <v>40</v>
      </c>
    </row>
    <row r="19" spans="1:10">
      <c r="B19">
        <v>11</v>
      </c>
      <c r="C19">
        <v>12</v>
      </c>
      <c r="D19">
        <v>11</v>
      </c>
      <c r="E19">
        <v>3</v>
      </c>
      <c r="F19">
        <v>7</v>
      </c>
      <c r="G19">
        <v>3</v>
      </c>
      <c r="H19">
        <v>2</v>
      </c>
    </row>
    <row r="21" spans="1:10" ht="16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8C92-7E1C-41B6-A6D6-4A3A7C6A239A}">
  <dimension ref="A1:AN100"/>
  <sheetViews>
    <sheetView workbookViewId="0">
      <selection activeCell="C15" sqref="C15"/>
    </sheetView>
  </sheetViews>
  <sheetFormatPr defaultRowHeight="15"/>
  <cols>
    <col min="2" max="2" width="16.85546875" bestFit="1" customWidth="1"/>
    <col min="4" max="4" width="18.85546875" bestFit="1" customWidth="1"/>
    <col min="6" max="6" width="24" bestFit="1" customWidth="1"/>
    <col min="12" max="12" width="11.5703125" bestFit="1" customWidth="1"/>
    <col min="14" max="14" width="11.5703125" bestFit="1" customWidth="1"/>
    <col min="22" max="22" width="18.85546875" bestFit="1" customWidth="1"/>
    <col min="24" max="24" width="18.85546875" bestFit="1" customWidth="1"/>
    <col min="32" max="32" width="14.42578125" bestFit="1" customWidth="1"/>
    <col min="34" max="34" width="17.7109375" bestFit="1" customWidth="1"/>
  </cols>
  <sheetData>
    <row r="1" spans="1:40">
      <c r="A1" t="s">
        <v>55</v>
      </c>
      <c r="B1" t="s">
        <v>56</v>
      </c>
      <c r="G1" t="s">
        <v>57</v>
      </c>
    </row>
    <row r="2" spans="1:40">
      <c r="A2" t="s">
        <v>58</v>
      </c>
      <c r="G2">
        <v>123</v>
      </c>
    </row>
    <row r="3" spans="1:40">
      <c r="G3">
        <v>456</v>
      </c>
    </row>
    <row r="4" spans="1:40">
      <c r="G4">
        <v>789</v>
      </c>
    </row>
    <row r="5" spans="1:40">
      <c r="G5">
        <v>101112</v>
      </c>
    </row>
    <row r="6" spans="1:40">
      <c r="G6">
        <v>131415</v>
      </c>
    </row>
    <row r="7" spans="1:40">
      <c r="G7">
        <v>161718</v>
      </c>
    </row>
    <row r="8" spans="1:40">
      <c r="G8">
        <v>192021</v>
      </c>
    </row>
    <row r="9" spans="1:40">
      <c r="G9">
        <v>222324</v>
      </c>
    </row>
    <row r="10" spans="1:40">
      <c r="A10" t="s">
        <v>59</v>
      </c>
    </row>
    <row r="11" spans="1:40">
      <c r="A11" t="s">
        <v>60</v>
      </c>
      <c r="K11" t="s">
        <v>61</v>
      </c>
      <c r="U11" t="s">
        <v>62</v>
      </c>
      <c r="AE11" t="s">
        <v>63</v>
      </c>
    </row>
    <row r="12" spans="1:40">
      <c r="A12" t="s">
        <v>64</v>
      </c>
      <c r="B12" t="s">
        <v>65</v>
      </c>
      <c r="C12" t="s">
        <v>66</v>
      </c>
      <c r="D12" t="s">
        <v>38</v>
      </c>
      <c r="E12" t="s">
        <v>66</v>
      </c>
      <c r="F12" t="s">
        <v>67</v>
      </c>
      <c r="G12" t="s">
        <v>68</v>
      </c>
      <c r="H12" t="s">
        <v>68</v>
      </c>
      <c r="I12" t="s">
        <v>69</v>
      </c>
      <c r="J12" t="s">
        <v>69</v>
      </c>
      <c r="K12" t="s">
        <v>64</v>
      </c>
      <c r="L12" t="s">
        <v>50</v>
      </c>
      <c r="M12" t="s">
        <v>66</v>
      </c>
      <c r="N12" t="s">
        <v>44</v>
      </c>
      <c r="O12" t="s">
        <v>66</v>
      </c>
      <c r="P12" t="s">
        <v>67</v>
      </c>
      <c r="Q12" t="s">
        <v>68</v>
      </c>
      <c r="R12" t="s">
        <v>68</v>
      </c>
      <c r="S12" t="s">
        <v>69</v>
      </c>
      <c r="T12" t="s">
        <v>69</v>
      </c>
      <c r="U12" t="s">
        <v>64</v>
      </c>
      <c r="V12" t="s">
        <v>70</v>
      </c>
      <c r="W12" t="s">
        <v>66</v>
      </c>
      <c r="X12" t="s">
        <v>41</v>
      </c>
      <c r="Y12" t="s">
        <v>66</v>
      </c>
      <c r="Z12" t="s">
        <v>67</v>
      </c>
      <c r="AA12" t="s">
        <v>68</v>
      </c>
      <c r="AB12" t="s">
        <v>68</v>
      </c>
      <c r="AC12" t="s">
        <v>69</v>
      </c>
      <c r="AD12" t="s">
        <v>69</v>
      </c>
      <c r="AE12" t="s">
        <v>64</v>
      </c>
      <c r="AF12" t="s">
        <v>71</v>
      </c>
      <c r="AG12" t="s">
        <v>66</v>
      </c>
      <c r="AH12" t="s">
        <v>47</v>
      </c>
      <c r="AI12" t="s">
        <v>66</v>
      </c>
      <c r="AJ12" t="s">
        <v>67</v>
      </c>
      <c r="AK12" t="s">
        <v>68</v>
      </c>
      <c r="AL12" t="s">
        <v>68</v>
      </c>
      <c r="AM12" t="s">
        <v>69</v>
      </c>
      <c r="AN12" t="s">
        <v>69</v>
      </c>
    </row>
    <row r="13" spans="1:40">
      <c r="A13" t="s">
        <v>72</v>
      </c>
      <c r="B13" t="s">
        <v>73</v>
      </c>
      <c r="C13" t="s">
        <v>30</v>
      </c>
      <c r="D13" t="s">
        <v>74</v>
      </c>
      <c r="E13" t="s">
        <v>32</v>
      </c>
      <c r="G13">
        <v>3</v>
      </c>
      <c r="H13">
        <v>0</v>
      </c>
      <c r="K13" t="s">
        <v>75</v>
      </c>
      <c r="L13" t="s">
        <v>76</v>
      </c>
      <c r="M13" t="s">
        <v>31</v>
      </c>
      <c r="N13" t="s">
        <v>77</v>
      </c>
      <c r="O13" t="s">
        <v>30</v>
      </c>
      <c r="Q13">
        <v>3</v>
      </c>
      <c r="R13">
        <v>0</v>
      </c>
      <c r="T13">
        <v>1</v>
      </c>
      <c r="U13" t="s">
        <v>78</v>
      </c>
      <c r="V13" t="s">
        <v>79</v>
      </c>
      <c r="W13" t="s">
        <v>31</v>
      </c>
      <c r="X13" t="s">
        <v>80</v>
      </c>
      <c r="Y13" t="s">
        <v>30</v>
      </c>
      <c r="AA13">
        <v>1</v>
      </c>
      <c r="AB13">
        <v>1</v>
      </c>
      <c r="AE13" t="s">
        <v>81</v>
      </c>
      <c r="AF13" t="s">
        <v>82</v>
      </c>
      <c r="AG13" t="s">
        <v>30</v>
      </c>
      <c r="AH13" t="s">
        <v>83</v>
      </c>
      <c r="AI13" t="s">
        <v>84</v>
      </c>
      <c r="AK13">
        <v>1</v>
      </c>
      <c r="AL13">
        <v>1</v>
      </c>
    </row>
    <row r="14" spans="1:40">
      <c r="A14" t="s">
        <v>85</v>
      </c>
      <c r="B14" t="s">
        <v>86</v>
      </c>
      <c r="C14" t="s">
        <v>36</v>
      </c>
      <c r="D14" t="s">
        <v>87</v>
      </c>
      <c r="E14" t="s">
        <v>30</v>
      </c>
      <c r="G14">
        <v>3</v>
      </c>
      <c r="H14">
        <v>0</v>
      </c>
      <c r="J14">
        <v>1</v>
      </c>
      <c r="K14" t="s">
        <v>88</v>
      </c>
      <c r="L14" t="s">
        <v>89</v>
      </c>
      <c r="M14" t="s">
        <v>32</v>
      </c>
      <c r="N14" t="s">
        <v>90</v>
      </c>
      <c r="O14" t="s">
        <v>32</v>
      </c>
      <c r="Q14">
        <v>0</v>
      </c>
      <c r="R14">
        <v>3</v>
      </c>
      <c r="T14">
        <v>1</v>
      </c>
      <c r="U14" t="s">
        <v>91</v>
      </c>
      <c r="V14" t="s">
        <v>92</v>
      </c>
      <c r="W14" t="s">
        <v>30</v>
      </c>
      <c r="X14" t="s">
        <v>93</v>
      </c>
      <c r="Y14" t="s">
        <v>33</v>
      </c>
      <c r="AA14">
        <v>0</v>
      </c>
      <c r="AB14">
        <v>3</v>
      </c>
      <c r="AE14" t="s">
        <v>94</v>
      </c>
      <c r="AF14" t="s">
        <v>95</v>
      </c>
      <c r="AG14" t="s">
        <v>31</v>
      </c>
      <c r="AH14" t="s">
        <v>96</v>
      </c>
      <c r="AI14" t="s">
        <v>31</v>
      </c>
      <c r="AK14">
        <v>3</v>
      </c>
      <c r="AL14">
        <v>0</v>
      </c>
      <c r="AM14">
        <v>1</v>
      </c>
    </row>
    <row r="15" spans="1:40">
      <c r="A15" t="s">
        <v>97</v>
      </c>
      <c r="B15" t="s">
        <v>98</v>
      </c>
      <c r="C15" t="s">
        <v>84</v>
      </c>
      <c r="D15" t="s">
        <v>99</v>
      </c>
      <c r="E15" t="s">
        <v>35</v>
      </c>
      <c r="G15">
        <v>1</v>
      </c>
      <c r="H15">
        <v>1</v>
      </c>
      <c r="J15">
        <v>1</v>
      </c>
      <c r="K15" t="s">
        <v>100</v>
      </c>
      <c r="L15" t="s">
        <v>101</v>
      </c>
      <c r="M15" t="s">
        <v>35</v>
      </c>
      <c r="N15" t="s">
        <v>102</v>
      </c>
      <c r="O15" t="s">
        <v>31</v>
      </c>
      <c r="Q15">
        <v>3</v>
      </c>
      <c r="R15">
        <v>0</v>
      </c>
      <c r="S15">
        <v>1</v>
      </c>
      <c r="U15" t="s">
        <v>103</v>
      </c>
      <c r="V15" t="s">
        <v>104</v>
      </c>
      <c r="W15" t="s">
        <v>32</v>
      </c>
      <c r="X15" t="s">
        <v>105</v>
      </c>
      <c r="Y15" t="s">
        <v>31</v>
      </c>
      <c r="AA15">
        <v>1</v>
      </c>
      <c r="AB15">
        <v>1</v>
      </c>
      <c r="AE15" t="s">
        <v>106</v>
      </c>
      <c r="AF15" t="s">
        <v>107</v>
      </c>
      <c r="AG15" t="s">
        <v>84</v>
      </c>
      <c r="AH15" t="s">
        <v>108</v>
      </c>
      <c r="AI15" t="s">
        <v>30</v>
      </c>
      <c r="AK15">
        <v>3</v>
      </c>
      <c r="AL15">
        <v>0</v>
      </c>
      <c r="AM15">
        <v>1</v>
      </c>
    </row>
    <row r="16" spans="1:40">
      <c r="A16" t="s">
        <v>109</v>
      </c>
      <c r="G16">
        <v>1</v>
      </c>
      <c r="K16" t="s">
        <v>109</v>
      </c>
      <c r="Q16">
        <v>1</v>
      </c>
      <c r="U16" t="s">
        <v>109</v>
      </c>
      <c r="AB16">
        <v>1</v>
      </c>
      <c r="AE16" t="s">
        <v>109</v>
      </c>
      <c r="AK16">
        <v>1</v>
      </c>
    </row>
    <row r="17" spans="1:40">
      <c r="G17">
        <v>8</v>
      </c>
      <c r="H17">
        <v>1</v>
      </c>
      <c r="I17">
        <v>0</v>
      </c>
      <c r="J17">
        <v>2</v>
      </c>
      <c r="Q17">
        <v>7</v>
      </c>
      <c r="R17">
        <v>3</v>
      </c>
      <c r="S17">
        <v>1</v>
      </c>
      <c r="T17">
        <v>2</v>
      </c>
      <c r="AA17">
        <v>2</v>
      </c>
      <c r="AB17">
        <v>6</v>
      </c>
      <c r="AC17">
        <v>0</v>
      </c>
      <c r="AD17">
        <v>0</v>
      </c>
      <c r="AK17">
        <v>8</v>
      </c>
      <c r="AL17">
        <v>1</v>
      </c>
      <c r="AM17">
        <v>2</v>
      </c>
      <c r="AN17">
        <v>0</v>
      </c>
    </row>
    <row r="18" spans="1:40">
      <c r="A18" t="s">
        <v>64</v>
      </c>
      <c r="B18" t="s">
        <v>110</v>
      </c>
      <c r="C18" t="s">
        <v>66</v>
      </c>
      <c r="D18" t="s">
        <v>111</v>
      </c>
      <c r="E18" t="s">
        <v>66</v>
      </c>
      <c r="F18" t="s">
        <v>67</v>
      </c>
      <c r="G18" t="s">
        <v>68</v>
      </c>
      <c r="H18" t="s">
        <v>68</v>
      </c>
      <c r="I18" t="s">
        <v>69</v>
      </c>
      <c r="J18" t="s">
        <v>69</v>
      </c>
      <c r="K18" t="s">
        <v>64</v>
      </c>
      <c r="L18" t="s">
        <v>51</v>
      </c>
      <c r="M18" t="s">
        <v>66</v>
      </c>
      <c r="N18" t="s">
        <v>112</v>
      </c>
      <c r="O18" t="s">
        <v>66</v>
      </c>
      <c r="P18" t="s">
        <v>67</v>
      </c>
      <c r="Q18" t="s">
        <v>68</v>
      </c>
      <c r="R18" t="s">
        <v>68</v>
      </c>
      <c r="S18" t="s">
        <v>69</v>
      </c>
      <c r="T18" t="s">
        <v>69</v>
      </c>
      <c r="U18" t="s">
        <v>64</v>
      </c>
      <c r="V18" t="s">
        <v>113</v>
      </c>
      <c r="W18" t="s">
        <v>66</v>
      </c>
      <c r="X18" t="s">
        <v>42</v>
      </c>
      <c r="Y18" t="s">
        <v>66</v>
      </c>
      <c r="Z18" t="s">
        <v>67</v>
      </c>
      <c r="AA18" t="s">
        <v>68</v>
      </c>
      <c r="AB18" t="s">
        <v>68</v>
      </c>
      <c r="AC18" t="s">
        <v>69</v>
      </c>
      <c r="AD18" t="s">
        <v>69</v>
      </c>
      <c r="AE18" t="s">
        <v>64</v>
      </c>
      <c r="AF18" t="s">
        <v>114</v>
      </c>
      <c r="AG18" t="s">
        <v>66</v>
      </c>
      <c r="AH18" t="s">
        <v>46</v>
      </c>
      <c r="AI18" t="s">
        <v>66</v>
      </c>
      <c r="AJ18" t="s">
        <v>67</v>
      </c>
      <c r="AK18" t="s">
        <v>68</v>
      </c>
      <c r="AL18" t="s">
        <v>68</v>
      </c>
      <c r="AM18" t="s">
        <v>69</v>
      </c>
      <c r="AN18" t="s">
        <v>69</v>
      </c>
    </row>
    <row r="19" spans="1:40">
      <c r="A19" t="s">
        <v>115</v>
      </c>
      <c r="B19" t="s">
        <v>116</v>
      </c>
      <c r="C19" t="s">
        <v>36</v>
      </c>
      <c r="D19" t="s">
        <v>117</v>
      </c>
      <c r="E19" t="s">
        <v>84</v>
      </c>
      <c r="G19">
        <v>3</v>
      </c>
      <c r="H19">
        <v>0</v>
      </c>
      <c r="K19" t="s">
        <v>118</v>
      </c>
      <c r="L19" t="s">
        <v>119</v>
      </c>
      <c r="M19" t="s">
        <v>32</v>
      </c>
      <c r="N19" t="s">
        <v>120</v>
      </c>
      <c r="O19" t="s">
        <v>32</v>
      </c>
      <c r="Q19">
        <v>1</v>
      </c>
      <c r="R19">
        <v>1</v>
      </c>
      <c r="U19" t="s">
        <v>121</v>
      </c>
      <c r="V19" t="s">
        <v>122</v>
      </c>
      <c r="W19" t="s">
        <v>84</v>
      </c>
      <c r="X19" t="s">
        <v>123</v>
      </c>
      <c r="Y19" t="s">
        <v>31</v>
      </c>
      <c r="AA19">
        <v>3</v>
      </c>
      <c r="AB19">
        <v>0</v>
      </c>
      <c r="AE19" t="s">
        <v>124</v>
      </c>
      <c r="AF19" t="s">
        <v>125</v>
      </c>
      <c r="AG19" t="s">
        <v>30</v>
      </c>
      <c r="AH19" t="s">
        <v>126</v>
      </c>
      <c r="AI19" t="s">
        <v>30</v>
      </c>
      <c r="AK19">
        <v>3</v>
      </c>
      <c r="AL19">
        <v>0</v>
      </c>
      <c r="AN19">
        <v>1</v>
      </c>
    </row>
    <row r="20" spans="1:40">
      <c r="A20" t="s">
        <v>127</v>
      </c>
      <c r="B20" t="s">
        <v>128</v>
      </c>
      <c r="C20" t="s">
        <v>35</v>
      </c>
      <c r="D20" t="s">
        <v>129</v>
      </c>
      <c r="E20" t="s">
        <v>32</v>
      </c>
      <c r="G20">
        <v>3</v>
      </c>
      <c r="H20">
        <v>0</v>
      </c>
      <c r="I20">
        <v>1</v>
      </c>
      <c r="K20" t="s">
        <v>130</v>
      </c>
      <c r="L20" t="s">
        <v>131</v>
      </c>
      <c r="M20" t="s">
        <v>31</v>
      </c>
      <c r="N20" t="s">
        <v>132</v>
      </c>
      <c r="O20" t="s">
        <v>84</v>
      </c>
      <c r="Q20">
        <v>3</v>
      </c>
      <c r="S20">
        <v>1</v>
      </c>
      <c r="U20" t="s">
        <v>133</v>
      </c>
      <c r="V20" t="s">
        <v>134</v>
      </c>
      <c r="W20" t="s">
        <v>31</v>
      </c>
      <c r="X20" t="s">
        <v>135</v>
      </c>
      <c r="Y20" t="s">
        <v>30</v>
      </c>
      <c r="AA20">
        <v>0</v>
      </c>
      <c r="AB20">
        <v>3</v>
      </c>
      <c r="AE20" t="s">
        <v>136</v>
      </c>
      <c r="AF20" t="s">
        <v>137</v>
      </c>
      <c r="AG20" t="s">
        <v>32</v>
      </c>
      <c r="AH20" t="s">
        <v>138</v>
      </c>
      <c r="AI20" t="s">
        <v>33</v>
      </c>
      <c r="AK20">
        <v>1</v>
      </c>
      <c r="AL20">
        <v>1</v>
      </c>
    </row>
    <row r="21" spans="1:40">
      <c r="A21" t="s">
        <v>139</v>
      </c>
      <c r="B21" t="s">
        <v>140</v>
      </c>
      <c r="C21" t="s">
        <v>31</v>
      </c>
      <c r="D21" t="s">
        <v>141</v>
      </c>
      <c r="E21" t="s">
        <v>31</v>
      </c>
      <c r="G21">
        <v>3</v>
      </c>
      <c r="H21">
        <v>0</v>
      </c>
      <c r="K21" t="s">
        <v>142</v>
      </c>
      <c r="L21" t="s">
        <v>143</v>
      </c>
      <c r="M21" t="s">
        <v>84</v>
      </c>
      <c r="N21" t="s">
        <v>144</v>
      </c>
      <c r="O21" t="s">
        <v>33</v>
      </c>
      <c r="Q21">
        <v>3</v>
      </c>
      <c r="R21">
        <v>0</v>
      </c>
      <c r="U21" t="s">
        <v>145</v>
      </c>
      <c r="V21" t="s">
        <v>146</v>
      </c>
      <c r="W21" t="s">
        <v>30</v>
      </c>
      <c r="X21" t="s">
        <v>147</v>
      </c>
      <c r="Y21" t="s">
        <v>32</v>
      </c>
      <c r="AA21">
        <v>3</v>
      </c>
      <c r="AB21">
        <v>0</v>
      </c>
      <c r="AC21">
        <v>1</v>
      </c>
      <c r="AE21" t="s">
        <v>148</v>
      </c>
      <c r="AF21" t="s">
        <v>149</v>
      </c>
      <c r="AG21" t="s">
        <v>31</v>
      </c>
      <c r="AH21" t="s">
        <v>150</v>
      </c>
      <c r="AI21" t="s">
        <v>32</v>
      </c>
      <c r="AK21">
        <v>1</v>
      </c>
      <c r="AL21">
        <v>1</v>
      </c>
    </row>
    <row r="22" spans="1:40">
      <c r="A22" t="s">
        <v>109</v>
      </c>
      <c r="G22">
        <v>1</v>
      </c>
      <c r="K22" t="s">
        <v>109</v>
      </c>
      <c r="Q22">
        <v>1</v>
      </c>
      <c r="U22" t="s">
        <v>109</v>
      </c>
      <c r="AA22">
        <v>1</v>
      </c>
      <c r="AE22" t="s">
        <v>109</v>
      </c>
      <c r="AK22">
        <v>1</v>
      </c>
    </row>
    <row r="23" spans="1:40">
      <c r="G23">
        <v>10</v>
      </c>
      <c r="H23">
        <v>0</v>
      </c>
      <c r="I23">
        <v>1</v>
      </c>
      <c r="J23">
        <v>0</v>
      </c>
      <c r="Q23">
        <v>8</v>
      </c>
      <c r="R23">
        <v>1</v>
      </c>
      <c r="S23">
        <v>1</v>
      </c>
      <c r="T23">
        <v>0</v>
      </c>
      <c r="AA23">
        <v>7</v>
      </c>
      <c r="AB23">
        <v>3</v>
      </c>
      <c r="AC23">
        <v>1</v>
      </c>
      <c r="AD23">
        <v>0</v>
      </c>
      <c r="AK23">
        <v>6</v>
      </c>
      <c r="AL23">
        <v>2</v>
      </c>
      <c r="AM23">
        <v>0</v>
      </c>
      <c r="AN23">
        <v>1</v>
      </c>
    </row>
    <row r="26" spans="1:40">
      <c r="A26" t="s">
        <v>151</v>
      </c>
    </row>
    <row r="27" spans="1:40">
      <c r="A27" t="s">
        <v>60</v>
      </c>
      <c r="K27" t="s">
        <v>61</v>
      </c>
      <c r="U27" t="s">
        <v>62</v>
      </c>
      <c r="AE27" t="s">
        <v>63</v>
      </c>
    </row>
    <row r="28" spans="1:40">
      <c r="A28" t="s">
        <v>64</v>
      </c>
      <c r="B28" t="s">
        <v>110</v>
      </c>
      <c r="C28" t="s">
        <v>66</v>
      </c>
      <c r="D28" t="s">
        <v>38</v>
      </c>
      <c r="E28" t="s">
        <v>66</v>
      </c>
      <c r="F28" t="s">
        <v>67</v>
      </c>
      <c r="G28" t="s">
        <v>68</v>
      </c>
      <c r="H28" t="s">
        <v>68</v>
      </c>
      <c r="I28" t="s">
        <v>69</v>
      </c>
      <c r="J28" t="s">
        <v>69</v>
      </c>
      <c r="K28" t="s">
        <v>64</v>
      </c>
      <c r="L28" t="s">
        <v>50</v>
      </c>
      <c r="M28" t="s">
        <v>66</v>
      </c>
      <c r="N28" t="s">
        <v>112</v>
      </c>
      <c r="O28" t="s">
        <v>66</v>
      </c>
      <c r="P28" t="s">
        <v>67</v>
      </c>
      <c r="Q28" t="s">
        <v>68</v>
      </c>
      <c r="R28" t="s">
        <v>68</v>
      </c>
      <c r="S28" t="s">
        <v>69</v>
      </c>
      <c r="T28" t="s">
        <v>69</v>
      </c>
      <c r="U28" t="s">
        <v>64</v>
      </c>
      <c r="V28" t="s">
        <v>70</v>
      </c>
      <c r="W28" t="s">
        <v>66</v>
      </c>
      <c r="X28" t="s">
        <v>42</v>
      </c>
      <c r="Y28" t="s">
        <v>66</v>
      </c>
      <c r="Z28" t="s">
        <v>67</v>
      </c>
      <c r="AA28" t="s">
        <v>68</v>
      </c>
      <c r="AB28" t="s">
        <v>68</v>
      </c>
      <c r="AC28" t="s">
        <v>69</v>
      </c>
      <c r="AD28" t="s">
        <v>69</v>
      </c>
      <c r="AE28" t="s">
        <v>64</v>
      </c>
      <c r="AF28" t="s">
        <v>71</v>
      </c>
      <c r="AG28" t="s">
        <v>66</v>
      </c>
      <c r="AH28" t="s">
        <v>46</v>
      </c>
      <c r="AI28" t="s">
        <v>66</v>
      </c>
      <c r="AJ28" t="s">
        <v>67</v>
      </c>
      <c r="AK28" t="s">
        <v>68</v>
      </c>
      <c r="AL28" t="s">
        <v>68</v>
      </c>
      <c r="AM28" t="s">
        <v>69</v>
      </c>
      <c r="AN28" t="s">
        <v>69</v>
      </c>
    </row>
    <row r="29" spans="1:40">
      <c r="A29" t="s">
        <v>152</v>
      </c>
      <c r="B29" t="s">
        <v>128</v>
      </c>
      <c r="C29" t="s">
        <v>35</v>
      </c>
      <c r="D29" t="s">
        <v>74</v>
      </c>
      <c r="E29" t="s">
        <v>32</v>
      </c>
      <c r="G29">
        <v>3</v>
      </c>
      <c r="H29">
        <v>0</v>
      </c>
      <c r="I29">
        <v>0</v>
      </c>
      <c r="J29">
        <v>0</v>
      </c>
      <c r="K29" t="s">
        <v>81</v>
      </c>
      <c r="L29" t="s">
        <v>89</v>
      </c>
      <c r="M29" t="s">
        <v>32</v>
      </c>
      <c r="N29" t="s">
        <v>120</v>
      </c>
      <c r="O29" t="s">
        <v>32</v>
      </c>
      <c r="Q29">
        <v>3</v>
      </c>
      <c r="R29">
        <v>0</v>
      </c>
      <c r="S29">
        <v>1</v>
      </c>
      <c r="T29">
        <v>0</v>
      </c>
      <c r="U29" t="s">
        <v>153</v>
      </c>
      <c r="V29" t="s">
        <v>104</v>
      </c>
      <c r="W29" t="s">
        <v>32</v>
      </c>
      <c r="X29" t="s">
        <v>147</v>
      </c>
      <c r="Y29" t="s">
        <v>32</v>
      </c>
      <c r="AA29">
        <v>3</v>
      </c>
      <c r="AB29">
        <v>0</v>
      </c>
      <c r="AC29">
        <v>0</v>
      </c>
      <c r="AD29">
        <v>1</v>
      </c>
      <c r="AE29" t="s">
        <v>75</v>
      </c>
      <c r="AF29" t="s">
        <v>154</v>
      </c>
      <c r="AG29" t="s">
        <v>30</v>
      </c>
      <c r="AH29" t="s">
        <v>150</v>
      </c>
      <c r="AI29" t="s">
        <v>32</v>
      </c>
      <c r="AK29">
        <v>0</v>
      </c>
      <c r="AL29">
        <v>3</v>
      </c>
      <c r="AM29">
        <v>1</v>
      </c>
    </row>
    <row r="30" spans="1:40">
      <c r="A30" t="s">
        <v>91</v>
      </c>
      <c r="B30" t="s">
        <v>155</v>
      </c>
      <c r="C30" t="s">
        <v>31</v>
      </c>
      <c r="D30" t="s">
        <v>87</v>
      </c>
      <c r="E30" t="s">
        <v>30</v>
      </c>
      <c r="G30">
        <v>3</v>
      </c>
      <c r="H30">
        <v>0</v>
      </c>
      <c r="I30">
        <v>0</v>
      </c>
      <c r="J30">
        <v>1</v>
      </c>
      <c r="K30" t="s">
        <v>94</v>
      </c>
      <c r="L30" t="s">
        <v>101</v>
      </c>
      <c r="M30" t="s">
        <v>35</v>
      </c>
      <c r="N30" t="s">
        <v>156</v>
      </c>
      <c r="O30" t="s">
        <v>33</v>
      </c>
      <c r="Q30">
        <v>3</v>
      </c>
      <c r="R30">
        <v>0</v>
      </c>
      <c r="S30">
        <v>1</v>
      </c>
      <c r="T30">
        <v>0</v>
      </c>
      <c r="U30" t="s">
        <v>157</v>
      </c>
      <c r="V30" t="s">
        <v>92</v>
      </c>
      <c r="W30" t="s">
        <v>30</v>
      </c>
      <c r="X30" t="s">
        <v>123</v>
      </c>
      <c r="Y30" t="s">
        <v>31</v>
      </c>
      <c r="AA30">
        <v>3</v>
      </c>
      <c r="AB30">
        <v>0</v>
      </c>
      <c r="AC30">
        <v>0</v>
      </c>
      <c r="AD30">
        <v>0</v>
      </c>
      <c r="AE30" t="s">
        <v>88</v>
      </c>
      <c r="AF30" t="s">
        <v>95</v>
      </c>
      <c r="AG30" t="s">
        <v>31</v>
      </c>
      <c r="AH30" t="s">
        <v>138</v>
      </c>
      <c r="AI30" t="s">
        <v>33</v>
      </c>
      <c r="AK30">
        <v>3</v>
      </c>
      <c r="AL30">
        <v>0</v>
      </c>
      <c r="AM30">
        <v>1</v>
      </c>
    </row>
    <row r="31" spans="1:40">
      <c r="A31" t="s">
        <v>103</v>
      </c>
      <c r="B31" t="s">
        <v>116</v>
      </c>
      <c r="C31" t="s">
        <v>36</v>
      </c>
      <c r="D31" t="s">
        <v>99</v>
      </c>
      <c r="E31" t="s">
        <v>35</v>
      </c>
      <c r="G31">
        <v>3</v>
      </c>
      <c r="H31">
        <v>0</v>
      </c>
      <c r="I31">
        <v>0</v>
      </c>
      <c r="J31">
        <v>1</v>
      </c>
      <c r="K31" t="s">
        <v>106</v>
      </c>
      <c r="L31" t="s">
        <v>76</v>
      </c>
      <c r="M31" t="s">
        <v>31</v>
      </c>
      <c r="N31" t="s">
        <v>132</v>
      </c>
      <c r="O31" t="s">
        <v>84</v>
      </c>
      <c r="Q31">
        <v>3</v>
      </c>
      <c r="R31">
        <v>0</v>
      </c>
      <c r="S31">
        <v>0</v>
      </c>
      <c r="T31">
        <v>0</v>
      </c>
      <c r="U31" t="s">
        <v>97</v>
      </c>
      <c r="V31" t="s">
        <v>79</v>
      </c>
      <c r="W31" t="s">
        <v>31</v>
      </c>
      <c r="X31" t="s">
        <v>135</v>
      </c>
      <c r="Y31" t="s">
        <v>30</v>
      </c>
      <c r="AA31">
        <v>3</v>
      </c>
      <c r="AB31">
        <v>0</v>
      </c>
      <c r="AC31">
        <v>0</v>
      </c>
      <c r="AD31">
        <v>1</v>
      </c>
      <c r="AE31" t="s">
        <v>100</v>
      </c>
      <c r="AF31" t="s">
        <v>107</v>
      </c>
      <c r="AG31" t="s">
        <v>84</v>
      </c>
      <c r="AH31" t="s">
        <v>126</v>
      </c>
      <c r="AI31" t="s">
        <v>30</v>
      </c>
      <c r="AK31">
        <v>0</v>
      </c>
      <c r="AL31">
        <v>3</v>
      </c>
      <c r="AM31">
        <v>0</v>
      </c>
      <c r="AN31">
        <v>1</v>
      </c>
    </row>
    <row r="32" spans="1:40">
      <c r="A32" t="s">
        <v>109</v>
      </c>
      <c r="G32">
        <v>1</v>
      </c>
      <c r="K32" t="s">
        <v>109</v>
      </c>
      <c r="Q32">
        <v>1</v>
      </c>
      <c r="U32" t="s">
        <v>109</v>
      </c>
      <c r="AA32">
        <v>1</v>
      </c>
      <c r="AE32" t="s">
        <v>109</v>
      </c>
      <c r="AL32">
        <v>1</v>
      </c>
    </row>
    <row r="33" spans="1:40">
      <c r="G33">
        <v>10</v>
      </c>
      <c r="H33">
        <v>0</v>
      </c>
      <c r="I33">
        <v>0</v>
      </c>
      <c r="J33">
        <v>2</v>
      </c>
      <c r="Q33">
        <v>10</v>
      </c>
      <c r="R33">
        <v>0</v>
      </c>
      <c r="S33">
        <v>2</v>
      </c>
      <c r="T33">
        <v>0</v>
      </c>
      <c r="AA33">
        <v>10</v>
      </c>
      <c r="AB33">
        <v>0</v>
      </c>
      <c r="AC33">
        <v>0</v>
      </c>
      <c r="AD33">
        <v>2</v>
      </c>
      <c r="AK33">
        <v>3</v>
      </c>
      <c r="AL33">
        <v>7</v>
      </c>
      <c r="AM33">
        <v>2</v>
      </c>
      <c r="AN33">
        <v>1</v>
      </c>
    </row>
    <row r="34" spans="1:40">
      <c r="A34" t="s">
        <v>64</v>
      </c>
      <c r="B34" t="s">
        <v>65</v>
      </c>
      <c r="C34" t="s">
        <v>66</v>
      </c>
      <c r="D34" t="s">
        <v>111</v>
      </c>
      <c r="E34" t="s">
        <v>66</v>
      </c>
      <c r="F34" t="s">
        <v>67</v>
      </c>
      <c r="G34" t="s">
        <v>68</v>
      </c>
      <c r="H34" t="s">
        <v>68</v>
      </c>
      <c r="I34" t="s">
        <v>69</v>
      </c>
      <c r="J34" t="s">
        <v>69</v>
      </c>
      <c r="K34" t="s">
        <v>64</v>
      </c>
      <c r="L34" t="s">
        <v>51</v>
      </c>
      <c r="M34" t="s">
        <v>66</v>
      </c>
      <c r="N34" t="s">
        <v>44</v>
      </c>
      <c r="O34" t="s">
        <v>66</v>
      </c>
      <c r="P34" t="s">
        <v>67</v>
      </c>
      <c r="Q34" t="s">
        <v>68</v>
      </c>
      <c r="R34" t="s">
        <v>68</v>
      </c>
      <c r="S34" t="s">
        <v>69</v>
      </c>
      <c r="T34" t="s">
        <v>69</v>
      </c>
      <c r="U34" t="s">
        <v>64</v>
      </c>
      <c r="V34" t="s">
        <v>113</v>
      </c>
      <c r="W34" t="s">
        <v>66</v>
      </c>
      <c r="X34" t="s">
        <v>41</v>
      </c>
      <c r="Y34" t="s">
        <v>66</v>
      </c>
      <c r="Z34" t="s">
        <v>67</v>
      </c>
      <c r="AA34" t="s">
        <v>68</v>
      </c>
      <c r="AB34" t="s">
        <v>68</v>
      </c>
      <c r="AC34" t="s">
        <v>69</v>
      </c>
      <c r="AD34" t="s">
        <v>69</v>
      </c>
      <c r="AE34" t="s">
        <v>64</v>
      </c>
      <c r="AF34" t="s">
        <v>114</v>
      </c>
      <c r="AG34" t="s">
        <v>66</v>
      </c>
      <c r="AH34" t="s">
        <v>47</v>
      </c>
      <c r="AI34" t="s">
        <v>66</v>
      </c>
      <c r="AJ34" t="s">
        <v>67</v>
      </c>
      <c r="AK34" t="s">
        <v>68</v>
      </c>
      <c r="AL34" t="s">
        <v>68</v>
      </c>
      <c r="AM34" t="s">
        <v>69</v>
      </c>
      <c r="AN34" t="s">
        <v>69</v>
      </c>
    </row>
    <row r="35" spans="1:40">
      <c r="A35" t="s">
        <v>158</v>
      </c>
      <c r="B35" t="s">
        <v>98</v>
      </c>
      <c r="C35" t="s">
        <v>84</v>
      </c>
      <c r="D35" t="s">
        <v>159</v>
      </c>
      <c r="E35" t="s">
        <v>84</v>
      </c>
      <c r="G35">
        <v>3</v>
      </c>
      <c r="H35">
        <v>0</v>
      </c>
      <c r="I35">
        <v>1</v>
      </c>
      <c r="J35">
        <v>0</v>
      </c>
      <c r="K35" t="s">
        <v>124</v>
      </c>
      <c r="L35" t="s">
        <v>143</v>
      </c>
      <c r="M35" t="s">
        <v>84</v>
      </c>
      <c r="N35" t="s">
        <v>77</v>
      </c>
      <c r="O35" t="s">
        <v>30</v>
      </c>
      <c r="Q35">
        <v>3</v>
      </c>
      <c r="R35">
        <v>0</v>
      </c>
      <c r="S35">
        <v>0</v>
      </c>
      <c r="T35">
        <v>1</v>
      </c>
      <c r="U35" t="s">
        <v>160</v>
      </c>
      <c r="V35" t="s">
        <v>146</v>
      </c>
      <c r="W35" t="s">
        <v>30</v>
      </c>
      <c r="X35" t="s">
        <v>105</v>
      </c>
      <c r="Y35" t="s">
        <v>31</v>
      </c>
      <c r="AA35">
        <v>3</v>
      </c>
      <c r="AB35">
        <v>0</v>
      </c>
      <c r="AD35">
        <v>1</v>
      </c>
      <c r="AE35" t="s">
        <v>118</v>
      </c>
      <c r="AF35" t="s">
        <v>125</v>
      </c>
      <c r="AG35" t="s">
        <v>30</v>
      </c>
      <c r="AH35" t="s">
        <v>96</v>
      </c>
      <c r="AI35" t="s">
        <v>31</v>
      </c>
      <c r="AK35">
        <v>3</v>
      </c>
      <c r="AL35">
        <v>0</v>
      </c>
      <c r="AM35">
        <v>1</v>
      </c>
    </row>
    <row r="36" spans="1:40">
      <c r="A36" t="s">
        <v>133</v>
      </c>
      <c r="B36" t="s">
        <v>73</v>
      </c>
      <c r="C36" t="s">
        <v>30</v>
      </c>
      <c r="D36" t="s">
        <v>129</v>
      </c>
      <c r="E36" t="s">
        <v>32</v>
      </c>
      <c r="G36">
        <v>3</v>
      </c>
      <c r="H36">
        <v>0</v>
      </c>
      <c r="I36">
        <v>1</v>
      </c>
      <c r="J36">
        <v>0</v>
      </c>
      <c r="K36" t="s">
        <v>136</v>
      </c>
      <c r="L36" t="s">
        <v>131</v>
      </c>
      <c r="M36" t="s">
        <v>31</v>
      </c>
      <c r="N36" t="s">
        <v>90</v>
      </c>
      <c r="O36" t="s">
        <v>32</v>
      </c>
      <c r="Q36">
        <v>0</v>
      </c>
      <c r="R36">
        <v>3</v>
      </c>
      <c r="S36">
        <v>0</v>
      </c>
      <c r="T36">
        <v>1</v>
      </c>
      <c r="U36" t="s">
        <v>127</v>
      </c>
      <c r="V36" t="s">
        <v>122</v>
      </c>
      <c r="W36" t="s">
        <v>84</v>
      </c>
      <c r="X36" t="s">
        <v>93</v>
      </c>
      <c r="Y36" t="s">
        <v>33</v>
      </c>
      <c r="AA36">
        <v>0</v>
      </c>
      <c r="AB36">
        <v>3</v>
      </c>
      <c r="AC36">
        <v>0</v>
      </c>
      <c r="AD36">
        <v>1</v>
      </c>
      <c r="AE36" t="s">
        <v>130</v>
      </c>
      <c r="AF36" t="s">
        <v>149</v>
      </c>
      <c r="AG36" t="s">
        <v>31</v>
      </c>
      <c r="AH36" t="s">
        <v>161</v>
      </c>
      <c r="AI36" t="s">
        <v>30</v>
      </c>
      <c r="AK36">
        <v>3</v>
      </c>
      <c r="AL36">
        <v>0</v>
      </c>
    </row>
    <row r="37" spans="1:40">
      <c r="A37" t="s">
        <v>162</v>
      </c>
      <c r="B37" t="s">
        <v>86</v>
      </c>
      <c r="C37" t="s">
        <v>36</v>
      </c>
      <c r="D37" t="s">
        <v>141</v>
      </c>
      <c r="E37" t="s">
        <v>31</v>
      </c>
      <c r="G37">
        <v>0</v>
      </c>
      <c r="H37">
        <v>3</v>
      </c>
      <c r="I37">
        <v>1</v>
      </c>
      <c r="J37">
        <v>0</v>
      </c>
      <c r="K37" t="s">
        <v>39</v>
      </c>
      <c r="L37" t="s">
        <v>119</v>
      </c>
      <c r="M37" t="s">
        <v>32</v>
      </c>
      <c r="N37" t="s">
        <v>102</v>
      </c>
      <c r="O37" t="s">
        <v>31</v>
      </c>
      <c r="Q37">
        <v>1</v>
      </c>
      <c r="R37">
        <v>1</v>
      </c>
      <c r="T37">
        <v>1</v>
      </c>
      <c r="U37" t="s">
        <v>139</v>
      </c>
      <c r="V37" t="s">
        <v>134</v>
      </c>
      <c r="W37" t="s">
        <v>31</v>
      </c>
      <c r="X37" t="s">
        <v>80</v>
      </c>
      <c r="Y37" t="s">
        <v>30</v>
      </c>
      <c r="AA37">
        <v>3</v>
      </c>
      <c r="AB37">
        <v>0</v>
      </c>
      <c r="AC37">
        <v>0</v>
      </c>
      <c r="AD37">
        <v>0</v>
      </c>
      <c r="AE37" t="s">
        <v>142</v>
      </c>
      <c r="AF37" t="s">
        <v>137</v>
      </c>
      <c r="AG37" t="s">
        <v>32</v>
      </c>
      <c r="AH37" t="s">
        <v>83</v>
      </c>
      <c r="AI37" t="s">
        <v>84</v>
      </c>
      <c r="AK37">
        <v>3</v>
      </c>
      <c r="AL37">
        <v>0</v>
      </c>
      <c r="AM37">
        <v>1</v>
      </c>
    </row>
    <row r="38" spans="1:40">
      <c r="A38" t="s">
        <v>109</v>
      </c>
      <c r="G38">
        <v>1</v>
      </c>
      <c r="K38" t="s">
        <v>109</v>
      </c>
      <c r="U38" t="s">
        <v>109</v>
      </c>
      <c r="AA38">
        <v>1</v>
      </c>
      <c r="AE38" t="s">
        <v>109</v>
      </c>
      <c r="AK38">
        <v>1</v>
      </c>
    </row>
    <row r="39" spans="1:40">
      <c r="G39">
        <v>7</v>
      </c>
      <c r="H39">
        <v>3</v>
      </c>
      <c r="I39">
        <v>3</v>
      </c>
      <c r="J39">
        <v>0</v>
      </c>
      <c r="Q39">
        <v>4</v>
      </c>
      <c r="R39">
        <v>4</v>
      </c>
      <c r="S39">
        <v>0</v>
      </c>
      <c r="T39">
        <v>3</v>
      </c>
      <c r="AA39">
        <v>7</v>
      </c>
      <c r="AB39">
        <v>3</v>
      </c>
      <c r="AC39">
        <v>0</v>
      </c>
      <c r="AD39">
        <v>2</v>
      </c>
      <c r="AK39">
        <v>10</v>
      </c>
      <c r="AL39">
        <v>0</v>
      </c>
      <c r="AM39">
        <v>2</v>
      </c>
      <c r="AN39">
        <v>0</v>
      </c>
    </row>
    <row r="42" spans="1:40">
      <c r="A42" t="s">
        <v>163</v>
      </c>
    </row>
    <row r="43" spans="1:40">
      <c r="A43" t="s">
        <v>60</v>
      </c>
      <c r="K43" t="s">
        <v>61</v>
      </c>
      <c r="U43" t="s">
        <v>62</v>
      </c>
      <c r="AE43" t="s">
        <v>63</v>
      </c>
    </row>
    <row r="44" spans="1:40">
      <c r="A44" t="s">
        <v>64</v>
      </c>
      <c r="B44" t="s">
        <v>110</v>
      </c>
      <c r="C44" t="s">
        <v>66</v>
      </c>
      <c r="D44" t="s">
        <v>65</v>
      </c>
      <c r="E44" t="s">
        <v>66</v>
      </c>
      <c r="F44" t="s">
        <v>67</v>
      </c>
      <c r="G44" t="s">
        <v>68</v>
      </c>
      <c r="H44" t="s">
        <v>68</v>
      </c>
      <c r="I44" t="s">
        <v>69</v>
      </c>
      <c r="J44" t="s">
        <v>69</v>
      </c>
      <c r="K44" t="s">
        <v>64</v>
      </c>
      <c r="L44" t="s">
        <v>50</v>
      </c>
      <c r="M44" t="s">
        <v>66</v>
      </c>
      <c r="N44" t="s">
        <v>51</v>
      </c>
      <c r="O44" t="s">
        <v>66</v>
      </c>
      <c r="P44" t="s">
        <v>67</v>
      </c>
      <c r="Q44" t="s">
        <v>68</v>
      </c>
      <c r="R44" t="s">
        <v>68</v>
      </c>
      <c r="S44" t="s">
        <v>69</v>
      </c>
      <c r="T44" t="s">
        <v>69</v>
      </c>
      <c r="U44" t="s">
        <v>64</v>
      </c>
      <c r="V44" t="s">
        <v>70</v>
      </c>
      <c r="W44" t="s">
        <v>66</v>
      </c>
      <c r="X44" t="s">
        <v>113</v>
      </c>
      <c r="Y44" t="s">
        <v>66</v>
      </c>
      <c r="Z44" t="s">
        <v>67</v>
      </c>
      <c r="AA44" t="s">
        <v>68</v>
      </c>
      <c r="AB44" t="s">
        <v>68</v>
      </c>
      <c r="AC44" t="s">
        <v>69</v>
      </c>
      <c r="AD44" t="s">
        <v>69</v>
      </c>
      <c r="AE44" t="s">
        <v>64</v>
      </c>
      <c r="AF44" t="s">
        <v>71</v>
      </c>
      <c r="AG44" t="s">
        <v>66</v>
      </c>
      <c r="AH44" t="s">
        <v>114</v>
      </c>
      <c r="AI44" t="s">
        <v>66</v>
      </c>
      <c r="AJ44" t="s">
        <v>67</v>
      </c>
      <c r="AK44" t="s">
        <v>68</v>
      </c>
      <c r="AL44" t="s">
        <v>68</v>
      </c>
      <c r="AM44" t="s">
        <v>69</v>
      </c>
      <c r="AN44" t="s">
        <v>69</v>
      </c>
    </row>
    <row r="45" spans="1:40">
      <c r="A45" t="s">
        <v>152</v>
      </c>
      <c r="B45" t="s">
        <v>128</v>
      </c>
      <c r="C45" t="s">
        <v>35</v>
      </c>
      <c r="D45" t="s">
        <v>98</v>
      </c>
      <c r="E45" t="s">
        <v>84</v>
      </c>
      <c r="G45">
        <v>3</v>
      </c>
      <c r="H45">
        <v>0</v>
      </c>
      <c r="I45">
        <v>1</v>
      </c>
      <c r="J45">
        <v>0</v>
      </c>
      <c r="K45" t="s">
        <v>81</v>
      </c>
      <c r="L45" t="s">
        <v>101</v>
      </c>
      <c r="M45" t="s">
        <v>35</v>
      </c>
      <c r="N45" t="s">
        <v>143</v>
      </c>
      <c r="O45" t="s">
        <v>84</v>
      </c>
      <c r="Q45">
        <v>3</v>
      </c>
      <c r="R45">
        <v>0</v>
      </c>
      <c r="S45">
        <v>1</v>
      </c>
      <c r="T45">
        <v>0</v>
      </c>
      <c r="U45" t="s">
        <v>153</v>
      </c>
      <c r="V45" t="s">
        <v>104</v>
      </c>
      <c r="W45" t="s">
        <v>32</v>
      </c>
      <c r="X45" t="s">
        <v>122</v>
      </c>
      <c r="Y45" t="s">
        <v>84</v>
      </c>
      <c r="AA45">
        <v>3</v>
      </c>
      <c r="AB45">
        <v>0</v>
      </c>
      <c r="AC45">
        <v>0</v>
      </c>
      <c r="AD45">
        <v>0</v>
      </c>
      <c r="AE45" t="s">
        <v>75</v>
      </c>
      <c r="AF45" t="s">
        <v>107</v>
      </c>
      <c r="AG45" t="s">
        <v>84</v>
      </c>
      <c r="AH45" t="s">
        <v>125</v>
      </c>
      <c r="AI45" t="s">
        <v>30</v>
      </c>
      <c r="AK45">
        <v>3</v>
      </c>
      <c r="AL45">
        <v>0</v>
      </c>
      <c r="AM45">
        <v>1</v>
      </c>
      <c r="AN45">
        <v>0</v>
      </c>
    </row>
    <row r="46" spans="1:40">
      <c r="A46" t="s">
        <v>91</v>
      </c>
      <c r="B46" t="s">
        <v>155</v>
      </c>
      <c r="C46" t="s">
        <v>31</v>
      </c>
      <c r="D46" t="s">
        <v>86</v>
      </c>
      <c r="E46" t="s">
        <v>36</v>
      </c>
      <c r="G46">
        <v>3</v>
      </c>
      <c r="H46">
        <v>0</v>
      </c>
      <c r="I46">
        <v>1</v>
      </c>
      <c r="J46">
        <v>0</v>
      </c>
      <c r="K46" t="s">
        <v>94</v>
      </c>
      <c r="L46" t="s">
        <v>89</v>
      </c>
      <c r="M46" t="s">
        <v>32</v>
      </c>
      <c r="N46" t="s">
        <v>131</v>
      </c>
      <c r="O46" t="s">
        <v>31</v>
      </c>
      <c r="Q46">
        <v>3</v>
      </c>
      <c r="R46">
        <v>0</v>
      </c>
      <c r="S46">
        <v>1</v>
      </c>
      <c r="T46">
        <v>0</v>
      </c>
      <c r="U46" t="s">
        <v>157</v>
      </c>
      <c r="V46" t="s">
        <v>79</v>
      </c>
      <c r="W46" t="s">
        <v>31</v>
      </c>
      <c r="X46" t="s">
        <v>134</v>
      </c>
      <c r="Y46" t="s">
        <v>31</v>
      </c>
      <c r="AA46">
        <v>0</v>
      </c>
      <c r="AB46">
        <v>3</v>
      </c>
      <c r="AC46">
        <v>0</v>
      </c>
      <c r="AD46">
        <v>0</v>
      </c>
      <c r="AE46" t="s">
        <v>164</v>
      </c>
      <c r="AF46" t="s">
        <v>82</v>
      </c>
      <c r="AG46" t="s">
        <v>30</v>
      </c>
      <c r="AH46" t="s">
        <v>137</v>
      </c>
      <c r="AI46" t="s">
        <v>32</v>
      </c>
      <c r="AK46">
        <v>0</v>
      </c>
      <c r="AL46">
        <v>3</v>
      </c>
      <c r="AM46">
        <v>0</v>
      </c>
      <c r="AN46">
        <v>1</v>
      </c>
    </row>
    <row r="47" spans="1:40">
      <c r="A47" t="s">
        <v>103</v>
      </c>
      <c r="B47" t="s">
        <v>116</v>
      </c>
      <c r="C47" t="s">
        <v>36</v>
      </c>
      <c r="D47" t="s">
        <v>73</v>
      </c>
      <c r="E47" t="s">
        <v>30</v>
      </c>
      <c r="G47">
        <v>3</v>
      </c>
      <c r="H47">
        <v>0</v>
      </c>
      <c r="I47">
        <v>0</v>
      </c>
      <c r="J47">
        <v>0</v>
      </c>
      <c r="K47" t="s">
        <v>106</v>
      </c>
      <c r="L47" t="s">
        <v>76</v>
      </c>
      <c r="M47" t="s">
        <v>31</v>
      </c>
      <c r="N47" t="s">
        <v>119</v>
      </c>
      <c r="O47" t="s">
        <v>32</v>
      </c>
      <c r="Q47">
        <v>0</v>
      </c>
      <c r="R47">
        <v>3</v>
      </c>
      <c r="S47">
        <v>1</v>
      </c>
      <c r="T47">
        <v>0</v>
      </c>
      <c r="U47" t="s">
        <v>165</v>
      </c>
      <c r="V47" t="s">
        <v>92</v>
      </c>
      <c r="W47" t="s">
        <v>30</v>
      </c>
      <c r="X47" t="s">
        <v>146</v>
      </c>
      <c r="Y47" t="s">
        <v>30</v>
      </c>
      <c r="AA47">
        <v>1</v>
      </c>
      <c r="AB47">
        <v>1</v>
      </c>
      <c r="AC47">
        <v>0</v>
      </c>
      <c r="AD47">
        <v>0</v>
      </c>
      <c r="AE47" t="s">
        <v>100</v>
      </c>
      <c r="AF47" t="s">
        <v>95</v>
      </c>
      <c r="AG47" t="s">
        <v>31</v>
      </c>
      <c r="AH47" t="s">
        <v>149</v>
      </c>
      <c r="AI47" t="s">
        <v>31</v>
      </c>
      <c r="AK47">
        <v>1</v>
      </c>
      <c r="AL47">
        <v>1</v>
      </c>
      <c r="AM47">
        <v>1</v>
      </c>
      <c r="AN47">
        <v>0</v>
      </c>
    </row>
    <row r="48" spans="1:40">
      <c r="A48" t="s">
        <v>109</v>
      </c>
      <c r="G48">
        <v>1</v>
      </c>
      <c r="K48" t="s">
        <v>109</v>
      </c>
      <c r="Q48">
        <v>1</v>
      </c>
      <c r="U48" t="s">
        <v>109</v>
      </c>
      <c r="AE48" t="s">
        <v>109</v>
      </c>
    </row>
    <row r="49" spans="1:40">
      <c r="G49">
        <v>10</v>
      </c>
      <c r="H49">
        <v>0</v>
      </c>
      <c r="I49">
        <v>2</v>
      </c>
      <c r="J49">
        <v>0</v>
      </c>
      <c r="Q49">
        <v>7</v>
      </c>
      <c r="R49">
        <v>3</v>
      </c>
      <c r="S49">
        <v>3</v>
      </c>
      <c r="T49">
        <v>0</v>
      </c>
      <c r="AA49">
        <v>4</v>
      </c>
      <c r="AB49">
        <v>4</v>
      </c>
      <c r="AC49">
        <v>0</v>
      </c>
      <c r="AD49">
        <v>0</v>
      </c>
      <c r="AK49">
        <v>4</v>
      </c>
      <c r="AL49">
        <v>4</v>
      </c>
      <c r="AM49">
        <v>2</v>
      </c>
      <c r="AN49">
        <v>1</v>
      </c>
    </row>
    <row r="50" spans="1:40">
      <c r="A50" t="s">
        <v>64</v>
      </c>
      <c r="B50" t="s">
        <v>38</v>
      </c>
      <c r="C50" t="s">
        <v>66</v>
      </c>
      <c r="D50" t="s">
        <v>111</v>
      </c>
      <c r="E50" t="s">
        <v>66</v>
      </c>
      <c r="F50" t="s">
        <v>67</v>
      </c>
      <c r="G50" t="s">
        <v>68</v>
      </c>
      <c r="H50" t="s">
        <v>68</v>
      </c>
      <c r="I50" t="s">
        <v>69</v>
      </c>
      <c r="J50" t="s">
        <v>69</v>
      </c>
      <c r="K50" t="s">
        <v>64</v>
      </c>
      <c r="L50" t="s">
        <v>112</v>
      </c>
      <c r="M50" t="s">
        <v>66</v>
      </c>
      <c r="N50" t="s">
        <v>44</v>
      </c>
      <c r="O50" t="s">
        <v>66</v>
      </c>
      <c r="P50" t="s">
        <v>67</v>
      </c>
      <c r="Q50" t="s">
        <v>68</v>
      </c>
      <c r="R50" t="s">
        <v>68</v>
      </c>
      <c r="S50" t="s">
        <v>69</v>
      </c>
      <c r="T50" t="s">
        <v>69</v>
      </c>
      <c r="U50" t="s">
        <v>64</v>
      </c>
      <c r="V50" t="s">
        <v>42</v>
      </c>
      <c r="W50" t="s">
        <v>66</v>
      </c>
      <c r="X50" t="s">
        <v>41</v>
      </c>
      <c r="Y50" t="s">
        <v>66</v>
      </c>
      <c r="Z50" t="s">
        <v>67</v>
      </c>
      <c r="AA50" t="s">
        <v>68</v>
      </c>
      <c r="AB50" t="s">
        <v>68</v>
      </c>
      <c r="AC50" t="s">
        <v>69</v>
      </c>
      <c r="AD50" t="s">
        <v>69</v>
      </c>
      <c r="AE50" t="s">
        <v>64</v>
      </c>
      <c r="AF50" t="s">
        <v>47</v>
      </c>
      <c r="AG50" t="s">
        <v>66</v>
      </c>
      <c r="AH50" t="s">
        <v>46</v>
      </c>
      <c r="AI50" t="s">
        <v>66</v>
      </c>
      <c r="AJ50" t="s">
        <v>67</v>
      </c>
      <c r="AK50" t="s">
        <v>68</v>
      </c>
      <c r="AL50" t="s">
        <v>68</v>
      </c>
      <c r="AM50" t="s">
        <v>69</v>
      </c>
      <c r="AN50" t="s">
        <v>69</v>
      </c>
    </row>
    <row r="51" spans="1:40">
      <c r="A51" t="s">
        <v>158</v>
      </c>
      <c r="B51" t="s">
        <v>99</v>
      </c>
      <c r="C51" t="s">
        <v>35</v>
      </c>
      <c r="D51" t="s">
        <v>129</v>
      </c>
      <c r="E51" t="s">
        <v>32</v>
      </c>
      <c r="G51">
        <v>0</v>
      </c>
      <c r="H51">
        <v>3</v>
      </c>
      <c r="I51">
        <v>0</v>
      </c>
      <c r="J51">
        <v>1</v>
      </c>
      <c r="K51" t="s">
        <v>124</v>
      </c>
      <c r="L51" t="s">
        <v>120</v>
      </c>
      <c r="M51" t="s">
        <v>32</v>
      </c>
      <c r="N51" t="s">
        <v>90</v>
      </c>
      <c r="O51" t="s">
        <v>32</v>
      </c>
      <c r="Q51">
        <v>1</v>
      </c>
      <c r="R51">
        <v>1</v>
      </c>
      <c r="S51">
        <v>0</v>
      </c>
      <c r="T51">
        <v>1</v>
      </c>
      <c r="U51" t="s">
        <v>160</v>
      </c>
      <c r="V51" t="s">
        <v>147</v>
      </c>
      <c r="W51" t="s">
        <v>32</v>
      </c>
      <c r="X51" t="s">
        <v>93</v>
      </c>
      <c r="Y51" t="s">
        <v>33</v>
      </c>
      <c r="AA51">
        <v>3</v>
      </c>
      <c r="AB51">
        <v>0</v>
      </c>
      <c r="AC51">
        <v>0</v>
      </c>
      <c r="AD51">
        <v>1</v>
      </c>
      <c r="AE51" t="s">
        <v>118</v>
      </c>
      <c r="AF51" t="s">
        <v>96</v>
      </c>
      <c r="AG51" t="s">
        <v>31</v>
      </c>
      <c r="AH51" t="s">
        <v>138</v>
      </c>
      <c r="AI51" t="s">
        <v>33</v>
      </c>
      <c r="AK51">
        <v>0</v>
      </c>
      <c r="AL51">
        <v>3</v>
      </c>
      <c r="AM51">
        <v>0</v>
      </c>
      <c r="AN51">
        <v>1</v>
      </c>
    </row>
    <row r="52" spans="1:40">
      <c r="A52" t="s">
        <v>133</v>
      </c>
      <c r="B52" t="s">
        <v>87</v>
      </c>
      <c r="C52" t="s">
        <v>30</v>
      </c>
      <c r="D52" t="s">
        <v>117</v>
      </c>
      <c r="E52" t="s">
        <v>84</v>
      </c>
      <c r="G52">
        <v>0</v>
      </c>
      <c r="H52">
        <v>3</v>
      </c>
      <c r="I52">
        <v>0</v>
      </c>
      <c r="J52">
        <v>0</v>
      </c>
      <c r="K52" t="s">
        <v>136</v>
      </c>
      <c r="L52" t="s">
        <v>156</v>
      </c>
      <c r="M52" t="s">
        <v>33</v>
      </c>
      <c r="N52" t="s">
        <v>77</v>
      </c>
      <c r="O52" t="s">
        <v>30</v>
      </c>
      <c r="Q52">
        <v>0</v>
      </c>
      <c r="R52">
        <v>3</v>
      </c>
      <c r="S52">
        <v>0</v>
      </c>
      <c r="T52">
        <v>1</v>
      </c>
      <c r="U52" t="s">
        <v>127</v>
      </c>
      <c r="V52" t="s">
        <v>135</v>
      </c>
      <c r="W52" t="s">
        <v>30</v>
      </c>
      <c r="X52" t="s">
        <v>105</v>
      </c>
      <c r="Y52" t="s">
        <v>31</v>
      </c>
      <c r="AA52">
        <v>3</v>
      </c>
      <c r="AB52">
        <v>0</v>
      </c>
      <c r="AC52">
        <v>0</v>
      </c>
      <c r="AD52">
        <v>1</v>
      </c>
      <c r="AE52" t="s">
        <v>130</v>
      </c>
      <c r="AF52" t="s">
        <v>161</v>
      </c>
      <c r="AG52" t="s">
        <v>30</v>
      </c>
      <c r="AH52" t="s">
        <v>126</v>
      </c>
      <c r="AI52" t="s">
        <v>30</v>
      </c>
      <c r="AK52">
        <v>0</v>
      </c>
      <c r="AL52">
        <v>3</v>
      </c>
      <c r="AM52">
        <v>0</v>
      </c>
      <c r="AN52">
        <v>1</v>
      </c>
    </row>
    <row r="53" spans="1:40">
      <c r="A53" t="s">
        <v>162</v>
      </c>
      <c r="B53" t="s">
        <v>74</v>
      </c>
      <c r="C53" t="s">
        <v>32</v>
      </c>
      <c r="D53" t="s">
        <v>141</v>
      </c>
      <c r="E53" t="s">
        <v>31</v>
      </c>
      <c r="G53">
        <v>3</v>
      </c>
      <c r="H53">
        <v>0</v>
      </c>
      <c r="I53">
        <v>0</v>
      </c>
      <c r="J53">
        <v>0</v>
      </c>
      <c r="K53" t="s">
        <v>148</v>
      </c>
      <c r="L53" t="s">
        <v>132</v>
      </c>
      <c r="M53" t="s">
        <v>84</v>
      </c>
      <c r="N53" t="s">
        <v>102</v>
      </c>
      <c r="O53" t="s">
        <v>31</v>
      </c>
      <c r="Q53">
        <v>1</v>
      </c>
      <c r="R53">
        <v>1</v>
      </c>
      <c r="S53">
        <v>1</v>
      </c>
      <c r="T53">
        <v>0</v>
      </c>
      <c r="U53" t="s">
        <v>139</v>
      </c>
      <c r="V53" t="s">
        <v>123</v>
      </c>
      <c r="W53" t="s">
        <v>31</v>
      </c>
      <c r="X53" t="s">
        <v>80</v>
      </c>
      <c r="Y53" t="s">
        <v>30</v>
      </c>
      <c r="AA53">
        <v>3</v>
      </c>
      <c r="AB53">
        <v>0</v>
      </c>
      <c r="AC53">
        <v>0</v>
      </c>
      <c r="AD53">
        <v>1</v>
      </c>
      <c r="AE53" t="s">
        <v>142</v>
      </c>
      <c r="AF53" t="s">
        <v>83</v>
      </c>
      <c r="AG53" t="s">
        <v>84</v>
      </c>
      <c r="AH53" t="s">
        <v>150</v>
      </c>
      <c r="AI53" t="s">
        <v>32</v>
      </c>
      <c r="AK53">
        <v>0</v>
      </c>
      <c r="AL53">
        <v>3</v>
      </c>
      <c r="AM53">
        <v>0</v>
      </c>
      <c r="AN53">
        <v>0</v>
      </c>
    </row>
    <row r="54" spans="1:40">
      <c r="A54" t="s">
        <v>109</v>
      </c>
      <c r="H54">
        <v>1</v>
      </c>
      <c r="K54" t="s">
        <v>109</v>
      </c>
      <c r="R54">
        <v>1</v>
      </c>
      <c r="U54" t="s">
        <v>109</v>
      </c>
      <c r="AA54">
        <v>1</v>
      </c>
      <c r="AE54" t="s">
        <v>109</v>
      </c>
      <c r="AL54">
        <v>1</v>
      </c>
    </row>
    <row r="55" spans="1:40">
      <c r="G55">
        <v>3</v>
      </c>
      <c r="H55">
        <v>7</v>
      </c>
      <c r="I55">
        <v>0</v>
      </c>
      <c r="J55">
        <v>1</v>
      </c>
      <c r="Q55">
        <v>2</v>
      </c>
      <c r="R55">
        <v>6</v>
      </c>
      <c r="S55">
        <v>1</v>
      </c>
      <c r="T55">
        <v>2</v>
      </c>
      <c r="AA55">
        <v>10</v>
      </c>
      <c r="AB55">
        <v>0</v>
      </c>
      <c r="AC55">
        <v>0</v>
      </c>
      <c r="AD55">
        <v>3</v>
      </c>
      <c r="AK55">
        <v>0</v>
      </c>
      <c r="AL55">
        <v>10</v>
      </c>
      <c r="AM55">
        <v>0</v>
      </c>
      <c r="AN55">
        <v>2</v>
      </c>
    </row>
    <row r="57" spans="1:40">
      <c r="A57" t="s">
        <v>166</v>
      </c>
    </row>
    <row r="58" spans="1:40">
      <c r="A58" t="s">
        <v>167</v>
      </c>
    </row>
    <row r="59" spans="1:40">
      <c r="A59" t="s">
        <v>60</v>
      </c>
      <c r="K59" t="s">
        <v>61</v>
      </c>
      <c r="U59" t="s">
        <v>62</v>
      </c>
      <c r="AE59" t="s">
        <v>63</v>
      </c>
    </row>
    <row r="60" spans="1:40">
      <c r="A60" t="s">
        <v>64</v>
      </c>
      <c r="B60" t="s">
        <v>31</v>
      </c>
      <c r="C60" t="s">
        <v>66</v>
      </c>
      <c r="D60" t="s">
        <v>113</v>
      </c>
      <c r="E60" t="s">
        <v>66</v>
      </c>
      <c r="F60" t="s">
        <v>67</v>
      </c>
      <c r="G60" t="s">
        <v>68</v>
      </c>
      <c r="H60" t="s">
        <v>68</v>
      </c>
      <c r="I60" t="s">
        <v>69</v>
      </c>
      <c r="J60" t="s">
        <v>69</v>
      </c>
      <c r="K60" t="s">
        <v>64</v>
      </c>
      <c r="L60" t="s">
        <v>168</v>
      </c>
      <c r="M60" t="s">
        <v>66</v>
      </c>
      <c r="N60" t="s">
        <v>32</v>
      </c>
      <c r="O60" t="s">
        <v>66</v>
      </c>
      <c r="P60" t="s">
        <v>67</v>
      </c>
      <c r="Q60" t="s">
        <v>68</v>
      </c>
      <c r="R60" t="s">
        <v>68</v>
      </c>
      <c r="S60" t="s">
        <v>69</v>
      </c>
      <c r="T60" t="s">
        <v>69</v>
      </c>
      <c r="U60" t="s">
        <v>64</v>
      </c>
      <c r="V60" t="s">
        <v>71</v>
      </c>
      <c r="W60" t="s">
        <v>66</v>
      </c>
      <c r="X60" t="s">
        <v>42</v>
      </c>
      <c r="Y60" t="s">
        <v>66</v>
      </c>
      <c r="Z60" t="s">
        <v>67</v>
      </c>
      <c r="AA60" t="s">
        <v>68</v>
      </c>
      <c r="AB60" t="s">
        <v>68</v>
      </c>
      <c r="AC60" t="s">
        <v>69</v>
      </c>
      <c r="AD60" t="s">
        <v>69</v>
      </c>
      <c r="AE60" t="s">
        <v>64</v>
      </c>
      <c r="AF60" t="s">
        <v>41</v>
      </c>
      <c r="AG60" t="s">
        <v>66</v>
      </c>
      <c r="AH60" t="s">
        <v>112</v>
      </c>
      <c r="AI60" t="s">
        <v>66</v>
      </c>
      <c r="AJ60" t="s">
        <v>67</v>
      </c>
      <c r="AK60" t="s">
        <v>68</v>
      </c>
      <c r="AL60" t="s">
        <v>68</v>
      </c>
      <c r="AM60" t="s">
        <v>69</v>
      </c>
      <c r="AN60" t="s">
        <v>69</v>
      </c>
    </row>
    <row r="61" spans="1:40">
      <c r="B61" t="s">
        <v>128</v>
      </c>
      <c r="C61" t="s">
        <v>35</v>
      </c>
      <c r="D61" t="s">
        <v>146</v>
      </c>
      <c r="E61" t="s">
        <v>30</v>
      </c>
      <c r="G61">
        <v>3</v>
      </c>
      <c r="H61">
        <v>0</v>
      </c>
      <c r="I61">
        <v>1</v>
      </c>
      <c r="L61" t="s">
        <v>126</v>
      </c>
      <c r="M61" t="s">
        <v>30</v>
      </c>
      <c r="N61" t="s">
        <v>119</v>
      </c>
      <c r="O61" t="s">
        <v>32</v>
      </c>
      <c r="Q61">
        <v>0</v>
      </c>
      <c r="R61">
        <v>3</v>
      </c>
      <c r="T61">
        <v>1</v>
      </c>
      <c r="V61" t="s">
        <v>169</v>
      </c>
      <c r="W61" t="s">
        <v>84</v>
      </c>
      <c r="X61" t="s">
        <v>147</v>
      </c>
      <c r="Y61" t="s">
        <v>32</v>
      </c>
      <c r="AA61">
        <v>1</v>
      </c>
      <c r="AB61">
        <v>1</v>
      </c>
      <c r="AE61" t="s">
        <v>118</v>
      </c>
      <c r="AF61" t="s">
        <v>93</v>
      </c>
      <c r="AG61" t="s">
        <v>33</v>
      </c>
      <c r="AH61" t="s">
        <v>132</v>
      </c>
      <c r="AI61" t="s">
        <v>84</v>
      </c>
      <c r="AK61">
        <v>0</v>
      </c>
      <c r="AL61">
        <v>3</v>
      </c>
      <c r="AM61">
        <v>0</v>
      </c>
      <c r="AN61">
        <v>1</v>
      </c>
    </row>
    <row r="62" spans="1:40">
      <c r="B62" t="s">
        <v>116</v>
      </c>
      <c r="C62" t="s">
        <v>36</v>
      </c>
      <c r="D62" t="s">
        <v>134</v>
      </c>
      <c r="E62" t="s">
        <v>31</v>
      </c>
      <c r="G62">
        <v>1</v>
      </c>
      <c r="H62">
        <v>1</v>
      </c>
      <c r="L62" t="s">
        <v>138</v>
      </c>
      <c r="M62" t="s">
        <v>33</v>
      </c>
      <c r="N62" t="s">
        <v>170</v>
      </c>
      <c r="O62" t="s">
        <v>84</v>
      </c>
      <c r="Q62">
        <v>0</v>
      </c>
      <c r="R62">
        <v>3</v>
      </c>
      <c r="S62">
        <v>1</v>
      </c>
      <c r="V62" t="s">
        <v>82</v>
      </c>
      <c r="W62" t="s">
        <v>30</v>
      </c>
      <c r="X62" t="s">
        <v>135</v>
      </c>
      <c r="Y62" t="s">
        <v>30</v>
      </c>
      <c r="AA62">
        <v>3</v>
      </c>
      <c r="AB62">
        <v>0</v>
      </c>
      <c r="AC62">
        <v>1</v>
      </c>
      <c r="AE62" t="s">
        <v>130</v>
      </c>
      <c r="AF62" t="s">
        <v>80</v>
      </c>
      <c r="AG62" t="s">
        <v>30</v>
      </c>
      <c r="AH62" t="s">
        <v>156</v>
      </c>
      <c r="AI62" t="s">
        <v>33</v>
      </c>
      <c r="AK62">
        <v>3</v>
      </c>
      <c r="AL62">
        <v>0</v>
      </c>
      <c r="AM62">
        <v>0</v>
      </c>
      <c r="AN62">
        <v>1</v>
      </c>
    </row>
    <row r="63" spans="1:40">
      <c r="B63" t="s">
        <v>155</v>
      </c>
      <c r="C63" t="s">
        <v>31</v>
      </c>
      <c r="D63" t="s">
        <v>122</v>
      </c>
      <c r="E63" t="s">
        <v>84</v>
      </c>
      <c r="G63">
        <v>1</v>
      </c>
      <c r="H63">
        <v>1</v>
      </c>
      <c r="J63">
        <v>1</v>
      </c>
      <c r="L63" t="s">
        <v>150</v>
      </c>
      <c r="M63" t="s">
        <v>32</v>
      </c>
      <c r="N63" t="s">
        <v>171</v>
      </c>
      <c r="O63" t="s">
        <v>31</v>
      </c>
      <c r="Q63">
        <v>3</v>
      </c>
      <c r="R63">
        <v>0</v>
      </c>
      <c r="V63" t="s">
        <v>95</v>
      </c>
      <c r="W63" t="s">
        <v>31</v>
      </c>
      <c r="X63" t="s">
        <v>123</v>
      </c>
      <c r="Y63" t="s">
        <v>31</v>
      </c>
      <c r="AA63">
        <v>0</v>
      </c>
      <c r="AB63">
        <v>3</v>
      </c>
      <c r="AC63">
        <v>1</v>
      </c>
      <c r="AE63" t="s">
        <v>142</v>
      </c>
      <c r="AF63" t="s">
        <v>105</v>
      </c>
      <c r="AG63" t="s">
        <v>31</v>
      </c>
      <c r="AH63" t="s">
        <v>120</v>
      </c>
      <c r="AI63" t="s">
        <v>32</v>
      </c>
      <c r="AK63">
        <v>1</v>
      </c>
      <c r="AL63">
        <v>1</v>
      </c>
    </row>
    <row r="64" spans="1:40">
      <c r="A64" t="s">
        <v>109</v>
      </c>
      <c r="G64">
        <v>1</v>
      </c>
      <c r="K64" t="s">
        <v>109</v>
      </c>
      <c r="R64">
        <v>1</v>
      </c>
      <c r="U64" t="s">
        <v>109</v>
      </c>
      <c r="AE64" t="s">
        <v>109</v>
      </c>
    </row>
    <row r="65" spans="1:40">
      <c r="G65">
        <v>6</v>
      </c>
      <c r="H65">
        <v>2</v>
      </c>
      <c r="I65">
        <v>1</v>
      </c>
      <c r="J65">
        <v>1</v>
      </c>
      <c r="Q65">
        <v>3</v>
      </c>
      <c r="R65">
        <v>7</v>
      </c>
      <c r="S65">
        <v>1</v>
      </c>
      <c r="T65">
        <v>1</v>
      </c>
      <c r="AA65">
        <v>4</v>
      </c>
      <c r="AB65">
        <v>4</v>
      </c>
      <c r="AC65">
        <v>2</v>
      </c>
      <c r="AD65">
        <v>0</v>
      </c>
      <c r="AK65">
        <v>4</v>
      </c>
      <c r="AL65">
        <v>4</v>
      </c>
      <c r="AM65">
        <v>0</v>
      </c>
      <c r="AN65">
        <v>2</v>
      </c>
    </row>
    <row r="66" spans="1:40">
      <c r="A66" t="s">
        <v>64</v>
      </c>
      <c r="B66" t="s">
        <v>172</v>
      </c>
      <c r="C66" t="s">
        <v>66</v>
      </c>
      <c r="D66" t="s">
        <v>49</v>
      </c>
      <c r="E66" t="s">
        <v>66</v>
      </c>
      <c r="F66" t="s">
        <v>67</v>
      </c>
      <c r="G66" t="s">
        <v>68</v>
      </c>
      <c r="H66" t="s">
        <v>68</v>
      </c>
      <c r="I66" t="s">
        <v>69</v>
      </c>
      <c r="J66" t="s">
        <v>69</v>
      </c>
      <c r="K66" t="s">
        <v>64</v>
      </c>
      <c r="L66" t="s">
        <v>48</v>
      </c>
      <c r="M66" t="s">
        <v>66</v>
      </c>
      <c r="N66" t="s">
        <v>43</v>
      </c>
      <c r="O66" t="s">
        <v>66</v>
      </c>
      <c r="P66" t="s">
        <v>67</v>
      </c>
      <c r="Q66" t="s">
        <v>68</v>
      </c>
      <c r="R66" t="s">
        <v>68</v>
      </c>
      <c r="S66" t="s">
        <v>69</v>
      </c>
      <c r="T66" t="s">
        <v>69</v>
      </c>
      <c r="U66" t="s">
        <v>64</v>
      </c>
      <c r="V66" t="s">
        <v>173</v>
      </c>
      <c r="W66" t="s">
        <v>66</v>
      </c>
      <c r="X66" t="s">
        <v>111</v>
      </c>
      <c r="Y66" t="s">
        <v>66</v>
      </c>
      <c r="Z66" t="s">
        <v>67</v>
      </c>
      <c r="AA66" t="s">
        <v>68</v>
      </c>
      <c r="AB66" t="s">
        <v>68</v>
      </c>
      <c r="AC66" t="s">
        <v>69</v>
      </c>
      <c r="AD66" t="s">
        <v>69</v>
      </c>
      <c r="AE66" t="s">
        <v>64</v>
      </c>
      <c r="AF66" t="s">
        <v>38</v>
      </c>
      <c r="AG66" t="s">
        <v>66</v>
      </c>
      <c r="AH66" t="s">
        <v>47</v>
      </c>
      <c r="AI66" t="s">
        <v>66</v>
      </c>
      <c r="AJ66" t="s">
        <v>67</v>
      </c>
      <c r="AK66" t="s">
        <v>68</v>
      </c>
      <c r="AL66" t="s">
        <v>68</v>
      </c>
      <c r="AM66" t="s">
        <v>69</v>
      </c>
      <c r="AN66" t="s">
        <v>69</v>
      </c>
    </row>
    <row r="67" spans="1:40">
      <c r="B67" t="s">
        <v>101</v>
      </c>
      <c r="C67" t="s">
        <v>35</v>
      </c>
      <c r="D67" t="s">
        <v>137</v>
      </c>
      <c r="E67" t="s">
        <v>32</v>
      </c>
      <c r="G67">
        <v>3</v>
      </c>
      <c r="H67">
        <v>0</v>
      </c>
      <c r="J67">
        <v>1</v>
      </c>
      <c r="L67" t="s">
        <v>79</v>
      </c>
      <c r="M67" t="s">
        <v>31</v>
      </c>
      <c r="N67" t="s">
        <v>73</v>
      </c>
      <c r="O67" t="s">
        <v>30</v>
      </c>
      <c r="Q67">
        <v>0</v>
      </c>
      <c r="R67">
        <v>3</v>
      </c>
      <c r="V67" t="s">
        <v>77</v>
      </c>
      <c r="W67" t="s">
        <v>30</v>
      </c>
      <c r="X67" t="s">
        <v>141</v>
      </c>
      <c r="Y67" t="s">
        <v>31</v>
      </c>
      <c r="AA67">
        <v>3</v>
      </c>
      <c r="AB67">
        <v>0</v>
      </c>
      <c r="AD67">
        <v>1</v>
      </c>
      <c r="AE67" t="s">
        <v>124</v>
      </c>
      <c r="AF67" t="s">
        <v>99</v>
      </c>
      <c r="AG67" t="s">
        <v>35</v>
      </c>
      <c r="AH67" t="s">
        <v>161</v>
      </c>
      <c r="AI67" t="s">
        <v>30</v>
      </c>
      <c r="AK67">
        <v>3</v>
      </c>
      <c r="AL67">
        <v>0</v>
      </c>
      <c r="AM67">
        <v>1</v>
      </c>
      <c r="AN67">
        <v>0</v>
      </c>
    </row>
    <row r="68" spans="1:40">
      <c r="B68" t="s">
        <v>89</v>
      </c>
      <c r="C68" t="s">
        <v>32</v>
      </c>
      <c r="D68" t="s">
        <v>125</v>
      </c>
      <c r="E68" t="s">
        <v>30</v>
      </c>
      <c r="G68">
        <v>3</v>
      </c>
      <c r="H68">
        <v>0</v>
      </c>
      <c r="L68" t="s">
        <v>92</v>
      </c>
      <c r="M68" t="s">
        <v>30</v>
      </c>
      <c r="N68" t="s">
        <v>86</v>
      </c>
      <c r="O68" t="s">
        <v>36</v>
      </c>
      <c r="Q68">
        <v>3</v>
      </c>
      <c r="R68">
        <v>0</v>
      </c>
      <c r="V68" t="s">
        <v>102</v>
      </c>
      <c r="W68" t="s">
        <v>31</v>
      </c>
      <c r="X68" t="s">
        <v>129</v>
      </c>
      <c r="Y68" t="s">
        <v>32</v>
      </c>
      <c r="AA68">
        <v>3</v>
      </c>
      <c r="AB68">
        <v>0</v>
      </c>
      <c r="AE68" t="s">
        <v>136</v>
      </c>
      <c r="AF68" t="s">
        <v>74</v>
      </c>
      <c r="AG68" t="s">
        <v>32</v>
      </c>
      <c r="AH68" t="s">
        <v>83</v>
      </c>
      <c r="AI68" t="s">
        <v>84</v>
      </c>
      <c r="AK68">
        <v>0</v>
      </c>
      <c r="AL68">
        <v>3</v>
      </c>
      <c r="AM68">
        <v>0</v>
      </c>
    </row>
    <row r="69" spans="1:40">
      <c r="B69" t="s">
        <v>76</v>
      </c>
      <c r="C69" t="s">
        <v>31</v>
      </c>
      <c r="D69" t="s">
        <v>149</v>
      </c>
      <c r="E69" t="s">
        <v>31</v>
      </c>
      <c r="G69">
        <v>1</v>
      </c>
      <c r="H69">
        <v>1</v>
      </c>
      <c r="I69">
        <v>1</v>
      </c>
      <c r="L69" t="s">
        <v>104</v>
      </c>
      <c r="M69" t="s">
        <v>32</v>
      </c>
      <c r="N69" t="s">
        <v>98</v>
      </c>
      <c r="O69" t="s">
        <v>84</v>
      </c>
      <c r="Q69">
        <v>3</v>
      </c>
      <c r="R69">
        <v>0</v>
      </c>
      <c r="S69">
        <v>1</v>
      </c>
      <c r="V69" t="s">
        <v>90</v>
      </c>
      <c r="W69" t="s">
        <v>32</v>
      </c>
      <c r="X69" t="s">
        <v>117</v>
      </c>
      <c r="Y69" t="s">
        <v>84</v>
      </c>
      <c r="AA69">
        <v>3</v>
      </c>
      <c r="AB69">
        <v>0</v>
      </c>
      <c r="AE69" t="s">
        <v>39</v>
      </c>
      <c r="AF69" t="s">
        <v>87</v>
      </c>
      <c r="AG69" t="s">
        <v>30</v>
      </c>
      <c r="AH69" t="s">
        <v>96</v>
      </c>
      <c r="AI69" t="s">
        <v>31</v>
      </c>
      <c r="AK69">
        <v>3</v>
      </c>
      <c r="AL69">
        <v>0</v>
      </c>
      <c r="AM69">
        <v>1</v>
      </c>
    </row>
    <row r="70" spans="1:40">
      <c r="A70" t="s">
        <v>109</v>
      </c>
      <c r="G70">
        <v>1</v>
      </c>
      <c r="K70" t="s">
        <v>109</v>
      </c>
      <c r="Q70">
        <v>1</v>
      </c>
      <c r="U70" t="s">
        <v>109</v>
      </c>
      <c r="AA70">
        <v>1</v>
      </c>
      <c r="AE70" t="s">
        <v>109</v>
      </c>
      <c r="AK70">
        <v>1</v>
      </c>
    </row>
    <row r="71" spans="1:40">
      <c r="G71">
        <v>8</v>
      </c>
      <c r="H71">
        <v>1</v>
      </c>
      <c r="I71">
        <v>1</v>
      </c>
      <c r="J71">
        <v>1</v>
      </c>
      <c r="Q71">
        <v>7</v>
      </c>
      <c r="R71">
        <v>3</v>
      </c>
      <c r="S71">
        <v>1</v>
      </c>
      <c r="T71">
        <v>0</v>
      </c>
      <c r="AA71">
        <v>10</v>
      </c>
      <c r="AB71">
        <v>0</v>
      </c>
      <c r="AC71">
        <v>0</v>
      </c>
      <c r="AD71">
        <v>1</v>
      </c>
      <c r="AK71">
        <v>7</v>
      </c>
      <c r="AL71">
        <v>3</v>
      </c>
      <c r="AM71">
        <v>2</v>
      </c>
      <c r="AN71">
        <v>0</v>
      </c>
    </row>
    <row r="73" spans="1:40">
      <c r="A73" t="s">
        <v>174</v>
      </c>
    </row>
    <row r="74" spans="1:40">
      <c r="A74" t="s">
        <v>60</v>
      </c>
      <c r="K74" t="s">
        <v>61</v>
      </c>
      <c r="U74" t="s">
        <v>62</v>
      </c>
      <c r="AE74" t="s">
        <v>63</v>
      </c>
    </row>
    <row r="75" spans="1:40">
      <c r="A75" t="s">
        <v>64</v>
      </c>
      <c r="B75" t="s">
        <v>31</v>
      </c>
      <c r="C75" t="s">
        <v>66</v>
      </c>
      <c r="D75" t="s">
        <v>49</v>
      </c>
      <c r="E75" t="s">
        <v>66</v>
      </c>
      <c r="F75" t="s">
        <v>67</v>
      </c>
      <c r="G75" t="s">
        <v>68</v>
      </c>
      <c r="H75" t="s">
        <v>68</v>
      </c>
      <c r="I75" t="s">
        <v>69</v>
      </c>
      <c r="J75" t="s">
        <v>69</v>
      </c>
      <c r="K75" t="s">
        <v>64</v>
      </c>
      <c r="L75" t="s">
        <v>168</v>
      </c>
      <c r="M75" t="s">
        <v>66</v>
      </c>
      <c r="N75" t="s">
        <v>48</v>
      </c>
      <c r="O75" t="s">
        <v>66</v>
      </c>
      <c r="P75" t="s">
        <v>67</v>
      </c>
      <c r="Q75" t="s">
        <v>68</v>
      </c>
      <c r="R75" t="s">
        <v>68</v>
      </c>
      <c r="S75" t="s">
        <v>69</v>
      </c>
      <c r="T75" t="s">
        <v>69</v>
      </c>
      <c r="U75" t="s">
        <v>64</v>
      </c>
      <c r="V75" t="s">
        <v>71</v>
      </c>
      <c r="W75" t="s">
        <v>66</v>
      </c>
      <c r="X75" t="s">
        <v>111</v>
      </c>
      <c r="Y75" t="s">
        <v>66</v>
      </c>
      <c r="Z75" t="s">
        <v>67</v>
      </c>
      <c r="AA75" t="s">
        <v>68</v>
      </c>
      <c r="AB75" t="s">
        <v>68</v>
      </c>
      <c r="AC75" t="s">
        <v>69</v>
      </c>
      <c r="AD75" t="s">
        <v>69</v>
      </c>
      <c r="AE75" t="s">
        <v>64</v>
      </c>
      <c r="AF75" t="s">
        <v>41</v>
      </c>
      <c r="AG75" t="s">
        <v>66</v>
      </c>
      <c r="AH75" t="s">
        <v>47</v>
      </c>
      <c r="AI75" t="s">
        <v>66</v>
      </c>
      <c r="AJ75" t="s">
        <v>67</v>
      </c>
      <c r="AK75" t="s">
        <v>68</v>
      </c>
      <c r="AL75" t="s">
        <v>68</v>
      </c>
      <c r="AM75" t="s">
        <v>69</v>
      </c>
      <c r="AN75" t="s">
        <v>69</v>
      </c>
    </row>
    <row r="76" spans="1:40">
      <c r="A76" t="s">
        <v>81</v>
      </c>
      <c r="B76" t="s">
        <v>155</v>
      </c>
      <c r="C76" t="s">
        <v>31</v>
      </c>
      <c r="D76" t="s">
        <v>137</v>
      </c>
      <c r="E76" t="s">
        <v>32</v>
      </c>
      <c r="G76">
        <v>0</v>
      </c>
      <c r="H76">
        <v>3</v>
      </c>
      <c r="J76">
        <v>1</v>
      </c>
      <c r="K76" t="s">
        <v>124</v>
      </c>
      <c r="L76" t="s">
        <v>150</v>
      </c>
      <c r="M76" t="s">
        <v>32</v>
      </c>
      <c r="N76" t="s">
        <v>104</v>
      </c>
      <c r="O76" t="s">
        <v>32</v>
      </c>
      <c r="Q76">
        <v>0</v>
      </c>
      <c r="R76">
        <v>3</v>
      </c>
      <c r="T76">
        <v>1</v>
      </c>
      <c r="U76" t="s">
        <v>78</v>
      </c>
      <c r="V76" t="s">
        <v>169</v>
      </c>
      <c r="W76" t="s">
        <v>84</v>
      </c>
      <c r="X76" t="s">
        <v>129</v>
      </c>
      <c r="Y76" t="s">
        <v>32</v>
      </c>
      <c r="AA76">
        <v>1</v>
      </c>
      <c r="AB76">
        <v>1</v>
      </c>
      <c r="AD76">
        <v>1</v>
      </c>
      <c r="AE76" t="s">
        <v>153</v>
      </c>
      <c r="AF76" t="s">
        <v>80</v>
      </c>
      <c r="AG76" t="s">
        <v>30</v>
      </c>
      <c r="AH76" t="s">
        <v>161</v>
      </c>
      <c r="AI76" t="s">
        <v>30</v>
      </c>
      <c r="AK76">
        <v>3</v>
      </c>
      <c r="AL76">
        <v>0</v>
      </c>
      <c r="AM76">
        <v>1</v>
      </c>
      <c r="AN76">
        <v>0</v>
      </c>
    </row>
    <row r="77" spans="1:40">
      <c r="A77" t="s">
        <v>94</v>
      </c>
      <c r="B77" t="s">
        <v>128</v>
      </c>
      <c r="C77" t="s">
        <v>35</v>
      </c>
      <c r="D77" t="s">
        <v>125</v>
      </c>
      <c r="E77" t="s">
        <v>30</v>
      </c>
      <c r="G77">
        <v>3</v>
      </c>
      <c r="H77">
        <v>0</v>
      </c>
      <c r="I77">
        <v>1</v>
      </c>
      <c r="K77" t="s">
        <v>136</v>
      </c>
      <c r="L77" t="s">
        <v>138</v>
      </c>
      <c r="M77" t="s">
        <v>33</v>
      </c>
      <c r="N77" t="s">
        <v>79</v>
      </c>
      <c r="O77" t="s">
        <v>31</v>
      </c>
      <c r="Q77">
        <v>0</v>
      </c>
      <c r="R77">
        <v>3</v>
      </c>
      <c r="T77">
        <v>1</v>
      </c>
      <c r="U77" t="s">
        <v>91</v>
      </c>
      <c r="V77" t="s">
        <v>95</v>
      </c>
      <c r="W77" t="s">
        <v>31</v>
      </c>
      <c r="X77" t="s">
        <v>141</v>
      </c>
      <c r="Y77" t="s">
        <v>31</v>
      </c>
      <c r="AA77">
        <v>3</v>
      </c>
      <c r="AB77">
        <v>0</v>
      </c>
      <c r="AC77">
        <v>1</v>
      </c>
      <c r="AD77">
        <v>0</v>
      </c>
      <c r="AE77" t="s">
        <v>157</v>
      </c>
      <c r="AF77" t="s">
        <v>93</v>
      </c>
      <c r="AG77" t="s">
        <v>33</v>
      </c>
      <c r="AH77" t="s">
        <v>96</v>
      </c>
      <c r="AI77" t="s">
        <v>31</v>
      </c>
      <c r="AK77">
        <v>3</v>
      </c>
      <c r="AL77">
        <v>0</v>
      </c>
      <c r="AM77">
        <v>0</v>
      </c>
      <c r="AN77">
        <v>0</v>
      </c>
    </row>
    <row r="78" spans="1:40">
      <c r="A78" t="s">
        <v>175</v>
      </c>
      <c r="B78" t="s">
        <v>116</v>
      </c>
      <c r="C78" t="s">
        <v>36</v>
      </c>
      <c r="D78" t="s">
        <v>149</v>
      </c>
      <c r="E78" t="s">
        <v>31</v>
      </c>
      <c r="G78">
        <v>3</v>
      </c>
      <c r="H78">
        <v>0</v>
      </c>
      <c r="I78">
        <v>1</v>
      </c>
      <c r="J78">
        <v>0</v>
      </c>
      <c r="K78" t="s">
        <v>39</v>
      </c>
      <c r="L78" t="s">
        <v>126</v>
      </c>
      <c r="M78" t="s">
        <v>30</v>
      </c>
      <c r="N78" t="s">
        <v>92</v>
      </c>
      <c r="O78" t="s">
        <v>30</v>
      </c>
      <c r="Q78">
        <v>1</v>
      </c>
      <c r="R78">
        <v>1</v>
      </c>
      <c r="U78" t="s">
        <v>103</v>
      </c>
      <c r="V78" t="s">
        <v>82</v>
      </c>
      <c r="W78" t="s">
        <v>30</v>
      </c>
      <c r="X78" t="s">
        <v>117</v>
      </c>
      <c r="Y78" t="s">
        <v>84</v>
      </c>
      <c r="AA78">
        <v>3</v>
      </c>
      <c r="AB78">
        <v>0</v>
      </c>
      <c r="AC78">
        <v>0</v>
      </c>
      <c r="AD78">
        <v>1</v>
      </c>
      <c r="AE78" t="s">
        <v>97</v>
      </c>
      <c r="AF78" t="s">
        <v>105</v>
      </c>
      <c r="AG78" t="s">
        <v>31</v>
      </c>
      <c r="AH78" t="s">
        <v>83</v>
      </c>
      <c r="AI78" t="s">
        <v>84</v>
      </c>
      <c r="AK78">
        <v>1</v>
      </c>
      <c r="AL78">
        <v>1</v>
      </c>
      <c r="AM78">
        <v>1</v>
      </c>
    </row>
    <row r="79" spans="1:40">
      <c r="A79" t="s">
        <v>109</v>
      </c>
      <c r="G79">
        <v>1</v>
      </c>
      <c r="K79" t="s">
        <v>109</v>
      </c>
      <c r="R79">
        <v>1</v>
      </c>
      <c r="U79" t="s">
        <v>109</v>
      </c>
      <c r="AA79">
        <v>1</v>
      </c>
      <c r="AE79" t="s">
        <v>109</v>
      </c>
      <c r="AK79">
        <v>1</v>
      </c>
    </row>
    <row r="80" spans="1:40">
      <c r="G80">
        <v>7</v>
      </c>
      <c r="H80">
        <v>3</v>
      </c>
      <c r="I80">
        <v>2</v>
      </c>
      <c r="J80">
        <v>1</v>
      </c>
      <c r="Q80">
        <v>1</v>
      </c>
      <c r="R80">
        <v>8</v>
      </c>
      <c r="S80">
        <v>0</v>
      </c>
      <c r="T80">
        <v>2</v>
      </c>
      <c r="AA80">
        <v>8</v>
      </c>
      <c r="AB80">
        <v>1</v>
      </c>
      <c r="AC80">
        <v>1</v>
      </c>
      <c r="AD80">
        <v>2</v>
      </c>
      <c r="AK80">
        <v>8</v>
      </c>
      <c r="AL80">
        <v>1</v>
      </c>
      <c r="AM80">
        <v>2</v>
      </c>
      <c r="AN80">
        <v>0</v>
      </c>
    </row>
    <row r="81" spans="1:40">
      <c r="A81" t="s">
        <v>64</v>
      </c>
      <c r="B81" t="s">
        <v>172</v>
      </c>
      <c r="C81" t="s">
        <v>66</v>
      </c>
      <c r="D81" t="s">
        <v>113</v>
      </c>
      <c r="E81" t="s">
        <v>66</v>
      </c>
      <c r="F81" t="s">
        <v>67</v>
      </c>
      <c r="G81" t="s">
        <v>68</v>
      </c>
      <c r="H81" t="s">
        <v>68</v>
      </c>
      <c r="I81" t="s">
        <v>69</v>
      </c>
      <c r="J81" t="s">
        <v>69</v>
      </c>
      <c r="K81" t="s">
        <v>64</v>
      </c>
      <c r="L81" t="s">
        <v>43</v>
      </c>
      <c r="M81" t="s">
        <v>66</v>
      </c>
      <c r="N81" t="s">
        <v>32</v>
      </c>
      <c r="O81" t="s">
        <v>66</v>
      </c>
      <c r="P81" t="s">
        <v>67</v>
      </c>
      <c r="Q81" t="s">
        <v>68</v>
      </c>
      <c r="R81" t="s">
        <v>68</v>
      </c>
      <c r="S81" t="s">
        <v>69</v>
      </c>
      <c r="T81" t="s">
        <v>69</v>
      </c>
      <c r="U81" t="s">
        <v>64</v>
      </c>
      <c r="V81" t="s">
        <v>173</v>
      </c>
      <c r="W81" t="s">
        <v>66</v>
      </c>
      <c r="X81" t="s">
        <v>42</v>
      </c>
      <c r="Y81" t="s">
        <v>66</v>
      </c>
      <c r="Z81" t="s">
        <v>67</v>
      </c>
      <c r="AA81" t="s">
        <v>68</v>
      </c>
      <c r="AB81" t="s">
        <v>68</v>
      </c>
      <c r="AC81" t="s">
        <v>69</v>
      </c>
      <c r="AD81" t="s">
        <v>69</v>
      </c>
      <c r="AE81" t="s">
        <v>64</v>
      </c>
      <c r="AF81" t="s">
        <v>38</v>
      </c>
      <c r="AG81" t="s">
        <v>66</v>
      </c>
      <c r="AH81" t="s">
        <v>112</v>
      </c>
      <c r="AI81" t="s">
        <v>66</v>
      </c>
      <c r="AJ81" t="s">
        <v>67</v>
      </c>
      <c r="AK81" t="s">
        <v>68</v>
      </c>
      <c r="AL81" t="s">
        <v>68</v>
      </c>
      <c r="AM81" t="s">
        <v>69</v>
      </c>
      <c r="AN81" t="s">
        <v>69</v>
      </c>
    </row>
    <row r="82" spans="1:40">
      <c r="A82" t="s">
        <v>118</v>
      </c>
      <c r="B82" t="s">
        <v>76</v>
      </c>
      <c r="C82" t="s">
        <v>31</v>
      </c>
      <c r="D82" t="s">
        <v>146</v>
      </c>
      <c r="E82" t="s">
        <v>30</v>
      </c>
      <c r="G82">
        <v>3</v>
      </c>
      <c r="H82">
        <v>0</v>
      </c>
      <c r="I82">
        <v>1</v>
      </c>
      <c r="K82" t="s">
        <v>75</v>
      </c>
      <c r="L82" t="s">
        <v>98</v>
      </c>
      <c r="M82" t="s">
        <v>84</v>
      </c>
      <c r="N82" t="s">
        <v>119</v>
      </c>
      <c r="O82" t="s">
        <v>32</v>
      </c>
      <c r="Q82">
        <v>0</v>
      </c>
      <c r="R82">
        <v>3</v>
      </c>
      <c r="U82" t="s">
        <v>160</v>
      </c>
      <c r="V82" t="s">
        <v>77</v>
      </c>
      <c r="W82" t="s">
        <v>30</v>
      </c>
      <c r="X82" t="s">
        <v>135</v>
      </c>
      <c r="Y82" t="s">
        <v>30</v>
      </c>
      <c r="AA82">
        <v>0</v>
      </c>
      <c r="AB82">
        <v>3</v>
      </c>
      <c r="AD82">
        <v>1</v>
      </c>
      <c r="AE82" t="s">
        <v>121</v>
      </c>
      <c r="AF82" t="s">
        <v>74</v>
      </c>
      <c r="AG82" t="s">
        <v>32</v>
      </c>
      <c r="AH82" t="s">
        <v>132</v>
      </c>
      <c r="AI82" t="s">
        <v>84</v>
      </c>
      <c r="AK82">
        <v>0</v>
      </c>
      <c r="AL82">
        <v>3</v>
      </c>
      <c r="AN82">
        <v>1</v>
      </c>
    </row>
    <row r="83" spans="1:40">
      <c r="A83" t="s">
        <v>130</v>
      </c>
      <c r="B83" t="s">
        <v>89</v>
      </c>
      <c r="C83" t="s">
        <v>32</v>
      </c>
      <c r="D83" t="s">
        <v>134</v>
      </c>
      <c r="E83" t="s">
        <v>31</v>
      </c>
      <c r="G83">
        <v>3</v>
      </c>
      <c r="H83">
        <v>0</v>
      </c>
      <c r="I83">
        <v>0</v>
      </c>
      <c r="J83">
        <v>0</v>
      </c>
      <c r="K83" t="s">
        <v>88</v>
      </c>
      <c r="L83" t="s">
        <v>86</v>
      </c>
      <c r="M83" t="s">
        <v>36</v>
      </c>
      <c r="N83" t="s">
        <v>171</v>
      </c>
      <c r="O83" t="s">
        <v>31</v>
      </c>
      <c r="Q83">
        <v>1</v>
      </c>
      <c r="R83">
        <v>1</v>
      </c>
      <c r="T83">
        <v>1</v>
      </c>
      <c r="U83" t="s">
        <v>127</v>
      </c>
      <c r="V83" t="s">
        <v>102</v>
      </c>
      <c r="W83" t="s">
        <v>31</v>
      </c>
      <c r="X83" t="s">
        <v>147</v>
      </c>
      <c r="Y83" t="s">
        <v>32</v>
      </c>
      <c r="AA83">
        <v>3</v>
      </c>
      <c r="AB83">
        <v>0</v>
      </c>
      <c r="AC83">
        <v>1</v>
      </c>
      <c r="AE83" t="s">
        <v>133</v>
      </c>
      <c r="AF83" t="s">
        <v>99</v>
      </c>
      <c r="AG83" t="s">
        <v>35</v>
      </c>
      <c r="AH83" t="s">
        <v>120</v>
      </c>
      <c r="AI83" t="s">
        <v>32</v>
      </c>
      <c r="AK83">
        <v>0</v>
      </c>
      <c r="AL83">
        <v>3</v>
      </c>
      <c r="AN83">
        <v>1</v>
      </c>
    </row>
    <row r="84" spans="1:40">
      <c r="A84" t="s">
        <v>142</v>
      </c>
      <c r="B84" t="s">
        <v>101</v>
      </c>
      <c r="C84" t="s">
        <v>35</v>
      </c>
      <c r="D84" t="s">
        <v>122</v>
      </c>
      <c r="E84" t="s">
        <v>84</v>
      </c>
      <c r="G84">
        <v>3</v>
      </c>
      <c r="H84">
        <v>0</v>
      </c>
      <c r="I84">
        <v>1</v>
      </c>
      <c r="J84">
        <v>0</v>
      </c>
      <c r="K84" t="s">
        <v>100</v>
      </c>
      <c r="L84" t="s">
        <v>73</v>
      </c>
      <c r="M84" t="s">
        <v>30</v>
      </c>
      <c r="N84" t="s">
        <v>143</v>
      </c>
      <c r="O84" t="s">
        <v>84</v>
      </c>
      <c r="Q84">
        <v>1</v>
      </c>
      <c r="R84">
        <v>1</v>
      </c>
      <c r="S84">
        <v>1</v>
      </c>
      <c r="U84" t="s">
        <v>139</v>
      </c>
      <c r="V84" t="s">
        <v>90</v>
      </c>
      <c r="W84" t="s">
        <v>32</v>
      </c>
      <c r="X84" t="s">
        <v>123</v>
      </c>
      <c r="Y84" t="s">
        <v>31</v>
      </c>
      <c r="AA84">
        <v>3</v>
      </c>
      <c r="AB84">
        <v>0</v>
      </c>
      <c r="AC84">
        <v>1</v>
      </c>
      <c r="AD84">
        <v>0</v>
      </c>
      <c r="AE84" t="s">
        <v>145</v>
      </c>
      <c r="AF84" t="s">
        <v>87</v>
      </c>
      <c r="AG84" t="s">
        <v>30</v>
      </c>
      <c r="AH84" t="s">
        <v>156</v>
      </c>
      <c r="AI84" t="s">
        <v>33</v>
      </c>
      <c r="AK84">
        <v>0</v>
      </c>
      <c r="AL84">
        <v>3</v>
      </c>
      <c r="AN84">
        <v>1</v>
      </c>
    </row>
    <row r="85" spans="1:40">
      <c r="A85" t="s">
        <v>109</v>
      </c>
      <c r="G85">
        <v>1</v>
      </c>
      <c r="K85" t="s">
        <v>109</v>
      </c>
      <c r="R85">
        <v>1</v>
      </c>
      <c r="U85" t="s">
        <v>109</v>
      </c>
      <c r="AA85">
        <v>1</v>
      </c>
      <c r="AE85" t="s">
        <v>109</v>
      </c>
      <c r="AL85">
        <v>1</v>
      </c>
    </row>
    <row r="86" spans="1:40">
      <c r="G86">
        <v>10</v>
      </c>
      <c r="H86">
        <v>0</v>
      </c>
      <c r="I86">
        <v>2</v>
      </c>
      <c r="J86">
        <v>0</v>
      </c>
      <c r="Q86">
        <v>2</v>
      </c>
      <c r="R86">
        <v>6</v>
      </c>
      <c r="S86">
        <v>1</v>
      </c>
      <c r="T86">
        <v>1</v>
      </c>
      <c r="AA86">
        <v>7</v>
      </c>
      <c r="AB86">
        <v>3</v>
      </c>
      <c r="AC86">
        <v>2</v>
      </c>
      <c r="AD86">
        <v>1</v>
      </c>
      <c r="AK86">
        <v>0</v>
      </c>
      <c r="AL86">
        <v>10</v>
      </c>
      <c r="AM86">
        <v>0</v>
      </c>
      <c r="AN86">
        <v>3</v>
      </c>
    </row>
    <row r="88" spans="1:40">
      <c r="A88" t="s">
        <v>60</v>
      </c>
      <c r="K88" t="s">
        <v>61</v>
      </c>
      <c r="U88" t="s">
        <v>62</v>
      </c>
      <c r="AE88" t="s">
        <v>63</v>
      </c>
    </row>
    <row r="89" spans="1:40">
      <c r="A89" t="s">
        <v>64</v>
      </c>
      <c r="B89" t="s">
        <v>31</v>
      </c>
      <c r="C89" t="s">
        <v>66</v>
      </c>
      <c r="D89" t="s">
        <v>172</v>
      </c>
      <c r="E89" t="s">
        <v>66</v>
      </c>
      <c r="F89" t="s">
        <v>67</v>
      </c>
      <c r="G89" t="s">
        <v>68</v>
      </c>
      <c r="H89" t="s">
        <v>68</v>
      </c>
      <c r="I89" t="s">
        <v>69</v>
      </c>
      <c r="J89" t="s">
        <v>69</v>
      </c>
      <c r="K89" t="s">
        <v>64</v>
      </c>
      <c r="L89" t="s">
        <v>168</v>
      </c>
      <c r="M89" t="s">
        <v>66</v>
      </c>
      <c r="N89" t="s">
        <v>43</v>
      </c>
      <c r="O89" t="s">
        <v>66</v>
      </c>
      <c r="P89" t="s">
        <v>67</v>
      </c>
      <c r="Q89" t="s">
        <v>68</v>
      </c>
      <c r="R89" t="s">
        <v>68</v>
      </c>
      <c r="S89" t="s">
        <v>69</v>
      </c>
      <c r="T89" t="s">
        <v>69</v>
      </c>
      <c r="U89" t="s">
        <v>64</v>
      </c>
      <c r="V89" t="s">
        <v>71</v>
      </c>
      <c r="W89" t="s">
        <v>66</v>
      </c>
      <c r="X89" t="s">
        <v>44</v>
      </c>
      <c r="Y89" t="s">
        <v>66</v>
      </c>
      <c r="Z89" t="s">
        <v>67</v>
      </c>
      <c r="AA89" t="s">
        <v>68</v>
      </c>
      <c r="AB89" t="s">
        <v>68</v>
      </c>
      <c r="AC89" t="s">
        <v>69</v>
      </c>
      <c r="AD89" t="s">
        <v>69</v>
      </c>
      <c r="AE89" t="s">
        <v>64</v>
      </c>
      <c r="AF89" t="s">
        <v>41</v>
      </c>
      <c r="AG89" t="s">
        <v>66</v>
      </c>
      <c r="AH89" t="s">
        <v>38</v>
      </c>
      <c r="AI89" t="s">
        <v>66</v>
      </c>
      <c r="AJ89" t="s">
        <v>67</v>
      </c>
      <c r="AK89" t="s">
        <v>68</v>
      </c>
      <c r="AL89" t="s">
        <v>68</v>
      </c>
      <c r="AM89" t="s">
        <v>69</v>
      </c>
      <c r="AN89" t="s">
        <v>69</v>
      </c>
    </row>
    <row r="90" spans="1:40">
      <c r="A90" t="s">
        <v>158</v>
      </c>
      <c r="B90" t="s">
        <v>155</v>
      </c>
      <c r="C90" t="s">
        <v>31</v>
      </c>
      <c r="D90" t="s">
        <v>89</v>
      </c>
      <c r="E90" t="s">
        <v>32</v>
      </c>
      <c r="G90">
        <v>0</v>
      </c>
      <c r="H90">
        <v>3</v>
      </c>
      <c r="L90" t="s">
        <v>150</v>
      </c>
      <c r="M90" t="s">
        <v>32</v>
      </c>
      <c r="N90" t="s">
        <v>86</v>
      </c>
      <c r="O90" t="s">
        <v>36</v>
      </c>
      <c r="Q90">
        <v>1</v>
      </c>
      <c r="R90">
        <v>1</v>
      </c>
      <c r="U90" t="s">
        <v>118</v>
      </c>
      <c r="V90" t="s">
        <v>169</v>
      </c>
      <c r="W90" t="s">
        <v>84</v>
      </c>
      <c r="X90" t="s">
        <v>77</v>
      </c>
      <c r="Y90" t="s">
        <v>30</v>
      </c>
      <c r="AA90">
        <v>1</v>
      </c>
      <c r="AB90">
        <v>1</v>
      </c>
      <c r="AC90">
        <v>1</v>
      </c>
      <c r="AF90" t="s">
        <v>105</v>
      </c>
      <c r="AG90" t="s">
        <v>31</v>
      </c>
      <c r="AH90" t="s">
        <v>99</v>
      </c>
      <c r="AI90" t="s">
        <v>35</v>
      </c>
      <c r="AK90">
        <v>0</v>
      </c>
      <c r="AL90">
        <v>3</v>
      </c>
      <c r="AN90">
        <v>1</v>
      </c>
    </row>
    <row r="91" spans="1:40">
      <c r="A91" t="s">
        <v>133</v>
      </c>
      <c r="B91" t="s">
        <v>128</v>
      </c>
      <c r="C91" t="s">
        <v>35</v>
      </c>
      <c r="D91" t="s">
        <v>76</v>
      </c>
      <c r="E91" t="s">
        <v>31</v>
      </c>
      <c r="G91">
        <v>0</v>
      </c>
      <c r="H91">
        <v>3</v>
      </c>
      <c r="L91" t="s">
        <v>126</v>
      </c>
      <c r="M91" t="s">
        <v>30</v>
      </c>
      <c r="N91" t="s">
        <v>73</v>
      </c>
      <c r="O91" t="s">
        <v>30</v>
      </c>
      <c r="Q91">
        <v>0</v>
      </c>
      <c r="R91">
        <v>3</v>
      </c>
      <c r="T91">
        <v>1</v>
      </c>
      <c r="U91" t="s">
        <v>130</v>
      </c>
      <c r="V91" t="s">
        <v>82</v>
      </c>
      <c r="W91" t="s">
        <v>30</v>
      </c>
      <c r="X91" t="s">
        <v>90</v>
      </c>
      <c r="Y91" t="s">
        <v>32</v>
      </c>
      <c r="AA91">
        <v>0</v>
      </c>
      <c r="AB91">
        <v>3</v>
      </c>
      <c r="AC91">
        <v>1</v>
      </c>
      <c r="AD91">
        <v>0</v>
      </c>
      <c r="AF91" s="105" t="s">
        <v>80</v>
      </c>
      <c r="AG91" s="105" t="s">
        <v>30</v>
      </c>
      <c r="AH91" s="105" t="s">
        <v>74</v>
      </c>
      <c r="AI91" t="s">
        <v>32</v>
      </c>
      <c r="AK91">
        <v>3</v>
      </c>
      <c r="AL91">
        <v>0</v>
      </c>
      <c r="AN91">
        <v>1</v>
      </c>
    </row>
    <row r="92" spans="1:40">
      <c r="A92" t="s">
        <v>162</v>
      </c>
      <c r="B92" t="s">
        <v>116</v>
      </c>
      <c r="C92" t="s">
        <v>36</v>
      </c>
      <c r="D92" t="s">
        <v>101</v>
      </c>
      <c r="E92" t="s">
        <v>35</v>
      </c>
      <c r="G92">
        <v>0</v>
      </c>
      <c r="H92">
        <v>3</v>
      </c>
      <c r="L92" t="s">
        <v>138</v>
      </c>
      <c r="M92" t="s">
        <v>33</v>
      </c>
      <c r="N92" t="s">
        <v>98</v>
      </c>
      <c r="O92" t="s">
        <v>84</v>
      </c>
      <c r="Q92">
        <v>0</v>
      </c>
      <c r="R92">
        <v>3</v>
      </c>
      <c r="U92" t="s">
        <v>142</v>
      </c>
      <c r="V92" t="s">
        <v>95</v>
      </c>
      <c r="W92" t="s">
        <v>31</v>
      </c>
      <c r="X92" t="s">
        <v>102</v>
      </c>
      <c r="Y92" t="s">
        <v>31</v>
      </c>
      <c r="AA92">
        <v>3</v>
      </c>
      <c r="AB92">
        <v>0</v>
      </c>
      <c r="AD92">
        <v>1</v>
      </c>
      <c r="AF92" t="s">
        <v>93</v>
      </c>
      <c r="AG92" t="s">
        <v>33</v>
      </c>
      <c r="AH92" t="s">
        <v>87</v>
      </c>
      <c r="AI92" t="s">
        <v>30</v>
      </c>
      <c r="AK92">
        <v>0</v>
      </c>
      <c r="AL92">
        <v>3</v>
      </c>
      <c r="AN92">
        <v>1</v>
      </c>
    </row>
    <row r="93" spans="1:40">
      <c r="A93" t="s">
        <v>109</v>
      </c>
      <c r="H93">
        <v>1</v>
      </c>
      <c r="K93" t="s">
        <v>109</v>
      </c>
      <c r="R93">
        <v>1</v>
      </c>
      <c r="U93" t="s">
        <v>109</v>
      </c>
      <c r="AE93" t="s">
        <v>109</v>
      </c>
      <c r="AL93">
        <v>1</v>
      </c>
    </row>
    <row r="94" spans="1:40">
      <c r="G94">
        <v>0</v>
      </c>
      <c r="H94">
        <v>10</v>
      </c>
      <c r="I94">
        <v>0</v>
      </c>
      <c r="J94">
        <v>0</v>
      </c>
      <c r="Q94">
        <v>1</v>
      </c>
      <c r="R94">
        <v>8</v>
      </c>
      <c r="S94">
        <v>0</v>
      </c>
      <c r="T94">
        <v>1</v>
      </c>
      <c r="AA94">
        <v>4</v>
      </c>
      <c r="AB94">
        <v>4</v>
      </c>
      <c r="AC94">
        <v>2</v>
      </c>
      <c r="AD94">
        <v>1</v>
      </c>
      <c r="AK94">
        <v>3</v>
      </c>
      <c r="AL94">
        <v>7</v>
      </c>
      <c r="AM94">
        <v>0</v>
      </c>
      <c r="AN94">
        <v>3</v>
      </c>
    </row>
    <row r="95" spans="1:40">
      <c r="A95" t="s">
        <v>64</v>
      </c>
      <c r="B95" t="s">
        <v>49</v>
      </c>
      <c r="C95" t="s">
        <v>66</v>
      </c>
      <c r="D95" t="s">
        <v>113</v>
      </c>
      <c r="E95" t="s">
        <v>66</v>
      </c>
      <c r="F95" t="s">
        <v>67</v>
      </c>
      <c r="G95" t="s">
        <v>68</v>
      </c>
      <c r="H95" t="s">
        <v>68</v>
      </c>
      <c r="I95" t="s">
        <v>69</v>
      </c>
      <c r="J95" t="s">
        <v>69</v>
      </c>
      <c r="K95" t="s">
        <v>64</v>
      </c>
      <c r="L95" t="s">
        <v>32</v>
      </c>
      <c r="M95" t="s">
        <v>66</v>
      </c>
      <c r="N95" t="s">
        <v>48</v>
      </c>
      <c r="O95" t="s">
        <v>66</v>
      </c>
      <c r="P95" t="s">
        <v>67</v>
      </c>
      <c r="Q95" t="s">
        <v>68</v>
      </c>
      <c r="R95" t="s">
        <v>68</v>
      </c>
      <c r="S95" t="s">
        <v>69</v>
      </c>
      <c r="T95" t="s">
        <v>69</v>
      </c>
      <c r="U95" t="s">
        <v>64</v>
      </c>
      <c r="V95" t="s">
        <v>111</v>
      </c>
      <c r="W95" t="s">
        <v>66</v>
      </c>
      <c r="X95" t="s">
        <v>42</v>
      </c>
      <c r="Y95" t="s">
        <v>66</v>
      </c>
      <c r="Z95" t="s">
        <v>67</v>
      </c>
      <c r="AA95" t="s">
        <v>68</v>
      </c>
      <c r="AB95" t="s">
        <v>68</v>
      </c>
      <c r="AC95" t="s">
        <v>69</v>
      </c>
      <c r="AD95" t="s">
        <v>69</v>
      </c>
      <c r="AE95" t="s">
        <v>64</v>
      </c>
      <c r="AF95" t="s">
        <v>47</v>
      </c>
      <c r="AG95" t="s">
        <v>66</v>
      </c>
      <c r="AH95" t="s">
        <v>112</v>
      </c>
      <c r="AI95" t="s">
        <v>66</v>
      </c>
      <c r="AJ95" t="s">
        <v>67</v>
      </c>
      <c r="AK95" t="s">
        <v>68</v>
      </c>
      <c r="AL95" t="s">
        <v>68</v>
      </c>
      <c r="AM95" t="s">
        <v>69</v>
      </c>
      <c r="AN95" t="s">
        <v>69</v>
      </c>
    </row>
    <row r="96" spans="1:40">
      <c r="A96" t="s">
        <v>176</v>
      </c>
      <c r="B96" t="s">
        <v>177</v>
      </c>
      <c r="C96" t="s">
        <v>30</v>
      </c>
      <c r="D96" t="s">
        <v>134</v>
      </c>
      <c r="E96" t="s">
        <v>31</v>
      </c>
      <c r="G96">
        <v>0</v>
      </c>
      <c r="H96">
        <v>3</v>
      </c>
      <c r="L96" t="s">
        <v>119</v>
      </c>
      <c r="M96" t="s">
        <v>32</v>
      </c>
      <c r="N96" t="s">
        <v>104</v>
      </c>
      <c r="O96" t="s">
        <v>32</v>
      </c>
      <c r="Q96">
        <v>3</v>
      </c>
      <c r="R96">
        <v>0</v>
      </c>
      <c r="S96">
        <v>1</v>
      </c>
      <c r="V96" t="s">
        <v>141</v>
      </c>
      <c r="W96" t="s">
        <v>31</v>
      </c>
      <c r="X96" t="s">
        <v>135</v>
      </c>
      <c r="Y96" t="s">
        <v>30</v>
      </c>
      <c r="AA96">
        <v>0</v>
      </c>
      <c r="AB96">
        <v>3</v>
      </c>
      <c r="AD96">
        <v>1</v>
      </c>
      <c r="AF96" t="s">
        <v>96</v>
      </c>
      <c r="AG96" t="s">
        <v>31</v>
      </c>
      <c r="AH96" t="s">
        <v>156</v>
      </c>
      <c r="AI96" t="s">
        <v>33</v>
      </c>
      <c r="AK96">
        <v>3</v>
      </c>
      <c r="AL96">
        <v>0</v>
      </c>
    </row>
    <row r="97" spans="1:40">
      <c r="A97" t="s">
        <v>178</v>
      </c>
      <c r="B97" t="s">
        <v>137</v>
      </c>
      <c r="C97" t="s">
        <v>32</v>
      </c>
      <c r="D97" t="s">
        <v>122</v>
      </c>
      <c r="E97" t="s">
        <v>84</v>
      </c>
      <c r="G97">
        <v>0</v>
      </c>
      <c r="H97">
        <v>3</v>
      </c>
      <c r="I97">
        <v>1</v>
      </c>
      <c r="L97" t="s">
        <v>171</v>
      </c>
      <c r="M97" t="s">
        <v>31</v>
      </c>
      <c r="N97" t="s">
        <v>79</v>
      </c>
      <c r="O97" t="s">
        <v>31</v>
      </c>
      <c r="Q97">
        <v>3</v>
      </c>
      <c r="R97">
        <v>0</v>
      </c>
      <c r="V97" t="s">
        <v>129</v>
      </c>
      <c r="W97" t="s">
        <v>32</v>
      </c>
      <c r="X97" t="s">
        <v>147</v>
      </c>
      <c r="Y97" t="s">
        <v>32</v>
      </c>
      <c r="AA97">
        <v>3</v>
      </c>
      <c r="AB97">
        <v>0</v>
      </c>
      <c r="AC97">
        <v>1</v>
      </c>
      <c r="AF97" t="s">
        <v>161</v>
      </c>
      <c r="AG97" t="s">
        <v>30</v>
      </c>
      <c r="AH97" t="s">
        <v>120</v>
      </c>
      <c r="AI97" t="s">
        <v>32</v>
      </c>
      <c r="AK97">
        <v>0</v>
      </c>
      <c r="AL97">
        <v>3</v>
      </c>
      <c r="AN97">
        <v>1</v>
      </c>
    </row>
    <row r="98" spans="1:40">
      <c r="A98" t="s">
        <v>179</v>
      </c>
      <c r="B98" t="s">
        <v>149</v>
      </c>
      <c r="C98" t="s">
        <v>31</v>
      </c>
      <c r="D98" t="s">
        <v>146</v>
      </c>
      <c r="E98" t="s">
        <v>30</v>
      </c>
      <c r="G98">
        <v>0</v>
      </c>
      <c r="H98">
        <v>3</v>
      </c>
      <c r="J98">
        <v>1</v>
      </c>
      <c r="L98" t="s">
        <v>143</v>
      </c>
      <c r="M98" t="s">
        <v>84</v>
      </c>
      <c r="N98" t="s">
        <v>92</v>
      </c>
      <c r="O98" t="s">
        <v>30</v>
      </c>
      <c r="Q98">
        <v>0</v>
      </c>
      <c r="R98">
        <v>3</v>
      </c>
      <c r="V98" t="s">
        <v>117</v>
      </c>
      <c r="W98" t="s">
        <v>84</v>
      </c>
      <c r="X98" t="s">
        <v>123</v>
      </c>
      <c r="Y98" t="s">
        <v>31</v>
      </c>
      <c r="AA98">
        <v>0</v>
      </c>
      <c r="AB98">
        <v>3</v>
      </c>
      <c r="AC98">
        <v>1</v>
      </c>
      <c r="AF98" t="s">
        <v>83</v>
      </c>
      <c r="AG98" t="s">
        <v>84</v>
      </c>
      <c r="AH98" t="s">
        <v>132</v>
      </c>
      <c r="AI98" t="s">
        <v>84</v>
      </c>
      <c r="AK98">
        <v>0</v>
      </c>
      <c r="AL98">
        <v>3</v>
      </c>
      <c r="AM98">
        <v>1</v>
      </c>
    </row>
    <row r="99" spans="1:40">
      <c r="A99" t="s">
        <v>109</v>
      </c>
      <c r="H99">
        <v>1</v>
      </c>
      <c r="K99" t="s">
        <v>109</v>
      </c>
      <c r="Q99">
        <v>1</v>
      </c>
      <c r="U99" t="s">
        <v>109</v>
      </c>
      <c r="AB99">
        <v>1</v>
      </c>
      <c r="AE99" t="s">
        <v>109</v>
      </c>
      <c r="AL99">
        <v>1</v>
      </c>
    </row>
    <row r="100" spans="1:40">
      <c r="G100">
        <v>0</v>
      </c>
      <c r="H100">
        <v>10</v>
      </c>
      <c r="I100">
        <v>1</v>
      </c>
      <c r="J100">
        <v>1</v>
      </c>
      <c r="Q100">
        <v>7</v>
      </c>
      <c r="R100">
        <v>3</v>
      </c>
      <c r="S100">
        <v>1</v>
      </c>
      <c r="T100">
        <v>0</v>
      </c>
      <c r="AA100">
        <v>3</v>
      </c>
      <c r="AB100">
        <v>7</v>
      </c>
      <c r="AC100">
        <v>2</v>
      </c>
      <c r="AD100">
        <v>1</v>
      </c>
      <c r="AK100">
        <v>3</v>
      </c>
      <c r="AL100">
        <v>7</v>
      </c>
      <c r="AM100">
        <v>1</v>
      </c>
      <c r="AN10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6BF-20DA-4FBB-BE5D-C96F3BFE8EE1}">
  <dimension ref="A1:M289"/>
  <sheetViews>
    <sheetView workbookViewId="0">
      <selection activeCell="K3" sqref="K3:N3"/>
    </sheetView>
  </sheetViews>
  <sheetFormatPr defaultRowHeight="15"/>
  <sheetData>
    <row r="1" spans="1:13">
      <c r="A1" t="s">
        <v>2</v>
      </c>
      <c r="B1" t="s">
        <v>66</v>
      </c>
      <c r="C1" t="s">
        <v>180</v>
      </c>
    </row>
    <row r="2" spans="1:13">
      <c r="A2" t="s">
        <v>143</v>
      </c>
      <c r="B2" t="s">
        <v>84</v>
      </c>
      <c r="C2">
        <v>3</v>
      </c>
      <c r="F2">
        <v>1.24</v>
      </c>
      <c r="G2" t="s">
        <v>136</v>
      </c>
      <c r="H2" t="s">
        <v>160</v>
      </c>
      <c r="I2" t="s">
        <v>142</v>
      </c>
      <c r="J2" t="s">
        <v>181</v>
      </c>
      <c r="K2" t="s">
        <v>136</v>
      </c>
      <c r="L2" t="s">
        <v>160</v>
      </c>
      <c r="M2" t="s">
        <v>142</v>
      </c>
    </row>
    <row r="3" spans="1:13">
      <c r="A3" t="s">
        <v>143</v>
      </c>
      <c r="B3" t="s">
        <v>84</v>
      </c>
      <c r="C3">
        <v>3</v>
      </c>
      <c r="F3" t="s">
        <v>84</v>
      </c>
      <c r="G3">
        <v>14</v>
      </c>
      <c r="H3">
        <v>9</v>
      </c>
      <c r="I3">
        <v>19</v>
      </c>
      <c r="J3">
        <f>SUM(G3:I3)</f>
        <v>42</v>
      </c>
      <c r="K3" s="366">
        <f>G3/J3</f>
        <v>0.33333333333333331</v>
      </c>
      <c r="L3" s="366">
        <f>H3/J3</f>
        <v>0.21428571428571427</v>
      </c>
      <c r="M3" s="366">
        <f>I3/J3</f>
        <v>0.45238095238095238</v>
      </c>
    </row>
    <row r="4" spans="1:13">
      <c r="A4" t="s">
        <v>143</v>
      </c>
      <c r="B4" t="s">
        <v>84</v>
      </c>
      <c r="C4">
        <v>3</v>
      </c>
      <c r="F4" t="s">
        <v>35</v>
      </c>
      <c r="G4">
        <v>13</v>
      </c>
      <c r="H4">
        <v>1</v>
      </c>
      <c r="I4">
        <v>4</v>
      </c>
      <c r="J4">
        <f t="shared" ref="J4:J9" si="0">SUM(G4:I4)</f>
        <v>18</v>
      </c>
      <c r="K4" s="367">
        <f t="shared" ref="K4:K9" si="1">G4/J4</f>
        <v>0.72222222222222221</v>
      </c>
      <c r="L4" s="366">
        <f t="shared" ref="L4:L9" si="2">H4/J4</f>
        <v>5.5555555555555552E-2</v>
      </c>
      <c r="M4" s="366">
        <f t="shared" ref="M4:M9" si="3">I4/J4</f>
        <v>0.22222222222222221</v>
      </c>
    </row>
    <row r="5" spans="1:13">
      <c r="A5" t="s">
        <v>83</v>
      </c>
      <c r="B5" t="s">
        <v>84</v>
      </c>
      <c r="C5">
        <v>3</v>
      </c>
      <c r="F5" t="s">
        <v>31</v>
      </c>
      <c r="G5">
        <v>26</v>
      </c>
      <c r="H5">
        <v>14</v>
      </c>
      <c r="I5">
        <v>32</v>
      </c>
      <c r="J5">
        <f t="shared" si="0"/>
        <v>72</v>
      </c>
      <c r="K5" s="366">
        <f t="shared" si="1"/>
        <v>0.3611111111111111</v>
      </c>
      <c r="L5" s="366">
        <f t="shared" si="2"/>
        <v>0.19444444444444445</v>
      </c>
      <c r="M5" s="366">
        <f t="shared" si="3"/>
        <v>0.44444444444444442</v>
      </c>
    </row>
    <row r="6" spans="1:13">
      <c r="A6" t="s">
        <v>117</v>
      </c>
      <c r="B6" t="s">
        <v>84</v>
      </c>
      <c r="C6">
        <v>3</v>
      </c>
      <c r="F6" t="s">
        <v>36</v>
      </c>
      <c r="G6">
        <v>5</v>
      </c>
      <c r="H6">
        <v>3</v>
      </c>
      <c r="I6">
        <v>4</v>
      </c>
      <c r="J6">
        <f t="shared" si="0"/>
        <v>12</v>
      </c>
      <c r="K6" s="366">
        <f t="shared" si="1"/>
        <v>0.41666666666666669</v>
      </c>
      <c r="L6" s="366">
        <f t="shared" si="2"/>
        <v>0.25</v>
      </c>
      <c r="M6" s="366">
        <f t="shared" si="3"/>
        <v>0.33333333333333331</v>
      </c>
    </row>
    <row r="7" spans="1:13">
      <c r="A7" t="s">
        <v>132</v>
      </c>
      <c r="B7" t="s">
        <v>84</v>
      </c>
      <c r="C7">
        <v>3</v>
      </c>
      <c r="F7" t="s">
        <v>33</v>
      </c>
      <c r="G7">
        <v>5</v>
      </c>
      <c r="H7">
        <v>1</v>
      </c>
      <c r="I7">
        <v>12</v>
      </c>
      <c r="J7">
        <f t="shared" si="0"/>
        <v>18</v>
      </c>
      <c r="K7" s="366">
        <f t="shared" si="1"/>
        <v>0.27777777777777779</v>
      </c>
      <c r="L7" s="366">
        <f t="shared" si="2"/>
        <v>5.5555555555555552E-2</v>
      </c>
      <c r="M7" s="367">
        <f t="shared" si="3"/>
        <v>0.66666666666666663</v>
      </c>
    </row>
    <row r="8" spans="1:13">
      <c r="A8" t="s">
        <v>132</v>
      </c>
      <c r="B8" t="s">
        <v>84</v>
      </c>
      <c r="C8">
        <v>3</v>
      </c>
      <c r="F8" t="s">
        <v>30</v>
      </c>
      <c r="G8">
        <v>27</v>
      </c>
      <c r="H8">
        <v>8</v>
      </c>
      <c r="I8">
        <v>31</v>
      </c>
      <c r="J8">
        <f t="shared" si="0"/>
        <v>66</v>
      </c>
      <c r="K8" s="366">
        <f t="shared" si="1"/>
        <v>0.40909090909090912</v>
      </c>
      <c r="L8" s="366">
        <f t="shared" si="2"/>
        <v>0.12121212121212122</v>
      </c>
      <c r="M8" s="366">
        <f t="shared" si="3"/>
        <v>0.46969696969696972</v>
      </c>
    </row>
    <row r="9" spans="1:13">
      <c r="A9" t="s">
        <v>132</v>
      </c>
      <c r="B9" t="s">
        <v>84</v>
      </c>
      <c r="C9">
        <v>3</v>
      </c>
      <c r="F9" t="s">
        <v>32</v>
      </c>
      <c r="G9">
        <v>30</v>
      </c>
      <c r="H9">
        <v>12</v>
      </c>
      <c r="I9">
        <v>18</v>
      </c>
      <c r="J9">
        <f t="shared" si="0"/>
        <v>60</v>
      </c>
      <c r="K9" s="366">
        <f t="shared" si="1"/>
        <v>0.5</v>
      </c>
      <c r="L9" s="366">
        <f t="shared" si="2"/>
        <v>0.2</v>
      </c>
      <c r="M9" s="366">
        <f t="shared" si="3"/>
        <v>0.3</v>
      </c>
    </row>
    <row r="10" spans="1:13">
      <c r="A10" t="s">
        <v>107</v>
      </c>
      <c r="B10" t="s">
        <v>84</v>
      </c>
      <c r="C10">
        <v>3</v>
      </c>
      <c r="G10">
        <f>SUM(G3:G9)</f>
        <v>120</v>
      </c>
      <c r="H10">
        <f>SUM(H3:H9)</f>
        <v>48</v>
      </c>
      <c r="I10">
        <f>SUM(I3:I9)</f>
        <v>120</v>
      </c>
    </row>
    <row r="11" spans="1:13">
      <c r="A11" t="s">
        <v>107</v>
      </c>
      <c r="B11" t="s">
        <v>84</v>
      </c>
      <c r="C11">
        <v>3</v>
      </c>
    </row>
    <row r="12" spans="1:13">
      <c r="A12" t="s">
        <v>98</v>
      </c>
      <c r="B12" t="s">
        <v>84</v>
      </c>
      <c r="C12">
        <v>3</v>
      </c>
    </row>
    <row r="13" spans="1:13">
      <c r="A13" t="s">
        <v>98</v>
      </c>
      <c r="B13" t="s">
        <v>84</v>
      </c>
      <c r="C13">
        <v>3</v>
      </c>
    </row>
    <row r="14" spans="1:13">
      <c r="A14" t="s">
        <v>122</v>
      </c>
      <c r="B14" t="s">
        <v>84</v>
      </c>
      <c r="C14">
        <v>3</v>
      </c>
    </row>
    <row r="15" spans="1:13">
      <c r="A15" t="s">
        <v>122</v>
      </c>
      <c r="B15" t="s">
        <v>84</v>
      </c>
      <c r="C15">
        <v>3</v>
      </c>
    </row>
    <row r="16" spans="1:13">
      <c r="A16" t="s">
        <v>143</v>
      </c>
      <c r="B16" t="s">
        <v>84</v>
      </c>
      <c r="C16">
        <v>1</v>
      </c>
    </row>
    <row r="17" spans="1:3">
      <c r="A17" t="s">
        <v>83</v>
      </c>
      <c r="B17" t="s">
        <v>84</v>
      </c>
      <c r="C17">
        <v>1</v>
      </c>
    </row>
    <row r="18" spans="1:3">
      <c r="A18" t="s">
        <v>83</v>
      </c>
      <c r="B18" t="s">
        <v>84</v>
      </c>
      <c r="C18">
        <v>1</v>
      </c>
    </row>
    <row r="19" spans="1:3">
      <c r="A19" t="s">
        <v>132</v>
      </c>
      <c r="B19" t="s">
        <v>84</v>
      </c>
      <c r="C19">
        <v>1</v>
      </c>
    </row>
    <row r="20" spans="1:3">
      <c r="A20" t="s">
        <v>107</v>
      </c>
      <c r="B20" t="s">
        <v>84</v>
      </c>
      <c r="C20">
        <v>1</v>
      </c>
    </row>
    <row r="21" spans="1:3">
      <c r="A21" t="s">
        <v>107</v>
      </c>
      <c r="B21" t="s">
        <v>84</v>
      </c>
      <c r="C21">
        <v>1</v>
      </c>
    </row>
    <row r="22" spans="1:3">
      <c r="A22" t="s">
        <v>107</v>
      </c>
      <c r="B22" t="s">
        <v>84</v>
      </c>
      <c r="C22">
        <v>1</v>
      </c>
    </row>
    <row r="23" spans="1:3">
      <c r="A23" t="s">
        <v>98</v>
      </c>
      <c r="B23" t="s">
        <v>84</v>
      </c>
      <c r="C23">
        <v>1</v>
      </c>
    </row>
    <row r="24" spans="1:3">
      <c r="A24" t="s">
        <v>122</v>
      </c>
      <c r="B24" t="s">
        <v>84</v>
      </c>
      <c r="C24">
        <v>1</v>
      </c>
    </row>
    <row r="25" spans="1:3">
      <c r="A25" t="s">
        <v>143</v>
      </c>
      <c r="B25" t="s">
        <v>84</v>
      </c>
      <c r="C25">
        <v>0</v>
      </c>
    </row>
    <row r="26" spans="1:3">
      <c r="A26" t="s">
        <v>143</v>
      </c>
      <c r="B26" t="s">
        <v>84</v>
      </c>
      <c r="C26">
        <v>0</v>
      </c>
    </row>
    <row r="27" spans="1:3">
      <c r="A27" t="s">
        <v>83</v>
      </c>
      <c r="B27" t="s">
        <v>84</v>
      </c>
      <c r="C27">
        <v>0</v>
      </c>
    </row>
    <row r="28" spans="1:3">
      <c r="A28" t="s">
        <v>83</v>
      </c>
      <c r="B28" t="s">
        <v>84</v>
      </c>
      <c r="C28">
        <v>0</v>
      </c>
    </row>
    <row r="29" spans="1:3">
      <c r="A29" t="s">
        <v>83</v>
      </c>
      <c r="B29" t="s">
        <v>84</v>
      </c>
      <c r="C29">
        <v>0</v>
      </c>
    </row>
    <row r="30" spans="1:3">
      <c r="A30" t="s">
        <v>117</v>
      </c>
      <c r="B30" t="s">
        <v>84</v>
      </c>
      <c r="C30">
        <v>0</v>
      </c>
    </row>
    <row r="31" spans="1:3">
      <c r="A31" t="s">
        <v>117</v>
      </c>
      <c r="B31" t="s">
        <v>84</v>
      </c>
      <c r="C31">
        <v>0</v>
      </c>
    </row>
    <row r="32" spans="1:3">
      <c r="A32" t="s">
        <v>117</v>
      </c>
      <c r="B32" t="s">
        <v>84</v>
      </c>
      <c r="C32">
        <v>0</v>
      </c>
    </row>
    <row r="33" spans="1:6">
      <c r="A33" t="s">
        <v>117</v>
      </c>
      <c r="B33" t="s">
        <v>84</v>
      </c>
      <c r="C33">
        <v>0</v>
      </c>
    </row>
    <row r="34" spans="1:6">
      <c r="A34" t="s">
        <v>117</v>
      </c>
      <c r="B34" t="s">
        <v>84</v>
      </c>
      <c r="C34">
        <v>0</v>
      </c>
    </row>
    <row r="35" spans="1:6">
      <c r="A35" t="s">
        <v>132</v>
      </c>
      <c r="B35" t="s">
        <v>84</v>
      </c>
      <c r="C35">
        <v>0</v>
      </c>
    </row>
    <row r="36" spans="1:6">
      <c r="A36" t="s">
        <v>107</v>
      </c>
      <c r="B36" t="s">
        <v>84</v>
      </c>
      <c r="C36">
        <v>0</v>
      </c>
    </row>
    <row r="37" spans="1:6">
      <c r="A37" t="s">
        <v>98</v>
      </c>
      <c r="B37" t="s">
        <v>84</v>
      </c>
      <c r="C37">
        <v>0</v>
      </c>
    </row>
    <row r="38" spans="1:6">
      <c r="A38" t="s">
        <v>98</v>
      </c>
      <c r="B38" t="s">
        <v>84</v>
      </c>
      <c r="C38">
        <v>0</v>
      </c>
    </row>
    <row r="39" spans="1:6">
      <c r="A39" t="s">
        <v>98</v>
      </c>
      <c r="B39" t="s">
        <v>84</v>
      </c>
      <c r="C39">
        <v>0</v>
      </c>
    </row>
    <row r="40" spans="1:6">
      <c r="A40" t="s">
        <v>122</v>
      </c>
      <c r="B40" t="s">
        <v>84</v>
      </c>
      <c r="C40">
        <v>0</v>
      </c>
    </row>
    <row r="41" spans="1:6">
      <c r="A41" t="s">
        <v>122</v>
      </c>
      <c r="B41" t="s">
        <v>84</v>
      </c>
      <c r="C41">
        <v>0</v>
      </c>
    </row>
    <row r="42" spans="1:6">
      <c r="A42" t="s">
        <v>122</v>
      </c>
      <c r="B42" t="s">
        <v>84</v>
      </c>
      <c r="C42">
        <v>0</v>
      </c>
    </row>
    <row r="43" spans="1:6">
      <c r="A43" t="s">
        <v>132</v>
      </c>
      <c r="B43" t="s">
        <v>84</v>
      </c>
      <c r="C43">
        <v>0</v>
      </c>
    </row>
    <row r="44" spans="1:6">
      <c r="A44" t="s">
        <v>101</v>
      </c>
      <c r="B44" t="s">
        <v>35</v>
      </c>
      <c r="C44">
        <v>3</v>
      </c>
      <c r="F44">
        <v>2.2200000000000002</v>
      </c>
    </row>
    <row r="45" spans="1:6">
      <c r="A45" t="s">
        <v>101</v>
      </c>
      <c r="B45" t="s">
        <v>35</v>
      </c>
      <c r="C45">
        <v>3</v>
      </c>
    </row>
    <row r="46" spans="1:6">
      <c r="A46" t="s">
        <v>101</v>
      </c>
      <c r="B46" t="s">
        <v>35</v>
      </c>
      <c r="C46">
        <v>3</v>
      </c>
    </row>
    <row r="47" spans="1:6">
      <c r="A47" t="s">
        <v>101</v>
      </c>
      <c r="B47" t="s">
        <v>35</v>
      </c>
      <c r="C47">
        <v>3</v>
      </c>
    </row>
    <row r="48" spans="1:6">
      <c r="A48" t="s">
        <v>101</v>
      </c>
      <c r="B48" t="s">
        <v>35</v>
      </c>
      <c r="C48">
        <v>3</v>
      </c>
    </row>
    <row r="49" spans="1:6">
      <c r="A49" t="s">
        <v>101</v>
      </c>
      <c r="B49" t="s">
        <v>35</v>
      </c>
      <c r="C49">
        <v>3</v>
      </c>
    </row>
    <row r="50" spans="1:6">
      <c r="A50" t="s">
        <v>99</v>
      </c>
      <c r="B50" t="s">
        <v>35</v>
      </c>
      <c r="C50">
        <v>3</v>
      </c>
    </row>
    <row r="51" spans="1:6">
      <c r="A51" t="s">
        <v>99</v>
      </c>
      <c r="B51" t="s">
        <v>35</v>
      </c>
      <c r="C51">
        <v>3</v>
      </c>
    </row>
    <row r="52" spans="1:6">
      <c r="A52" t="s">
        <v>128</v>
      </c>
      <c r="B52" t="s">
        <v>35</v>
      </c>
      <c r="C52">
        <v>3</v>
      </c>
    </row>
    <row r="53" spans="1:6">
      <c r="A53" t="s">
        <v>128</v>
      </c>
      <c r="B53" t="s">
        <v>35</v>
      </c>
      <c r="C53">
        <v>3</v>
      </c>
    </row>
    <row r="54" spans="1:6">
      <c r="A54" t="s">
        <v>128</v>
      </c>
      <c r="B54" t="s">
        <v>35</v>
      </c>
      <c r="C54">
        <v>3</v>
      </c>
    </row>
    <row r="55" spans="1:6">
      <c r="A55" t="s">
        <v>128</v>
      </c>
      <c r="B55" t="s">
        <v>35</v>
      </c>
      <c r="C55">
        <v>3</v>
      </c>
    </row>
    <row r="56" spans="1:6">
      <c r="A56" t="s">
        <v>128</v>
      </c>
      <c r="B56" t="s">
        <v>35</v>
      </c>
      <c r="C56">
        <v>3</v>
      </c>
    </row>
    <row r="57" spans="1:6">
      <c r="A57" t="s">
        <v>99</v>
      </c>
      <c r="B57" t="s">
        <v>35</v>
      </c>
      <c r="C57">
        <v>1</v>
      </c>
    </row>
    <row r="58" spans="1:6">
      <c r="A58" t="s">
        <v>99</v>
      </c>
      <c r="B58" t="s">
        <v>35</v>
      </c>
      <c r="C58">
        <v>0</v>
      </c>
    </row>
    <row r="59" spans="1:6">
      <c r="A59" t="s">
        <v>99</v>
      </c>
      <c r="B59" t="s">
        <v>35</v>
      </c>
      <c r="C59">
        <v>0</v>
      </c>
    </row>
    <row r="60" spans="1:6">
      <c r="A60" t="s">
        <v>99</v>
      </c>
      <c r="B60" t="s">
        <v>35</v>
      </c>
      <c r="C60">
        <v>0</v>
      </c>
    </row>
    <row r="61" spans="1:6">
      <c r="A61" t="s">
        <v>128</v>
      </c>
      <c r="B61" t="s">
        <v>35</v>
      </c>
      <c r="C61">
        <v>0</v>
      </c>
    </row>
    <row r="62" spans="1:6">
      <c r="A62" t="s">
        <v>95</v>
      </c>
      <c r="B62" t="s">
        <v>31</v>
      </c>
      <c r="C62">
        <v>3</v>
      </c>
      <c r="F62">
        <v>1.28</v>
      </c>
    </row>
    <row r="63" spans="1:6">
      <c r="A63" t="s">
        <v>95</v>
      </c>
      <c r="B63" t="s">
        <v>31</v>
      </c>
      <c r="C63">
        <v>3</v>
      </c>
    </row>
    <row r="64" spans="1:6">
      <c r="A64" t="s">
        <v>95</v>
      </c>
      <c r="B64" t="s">
        <v>31</v>
      </c>
      <c r="C64">
        <v>3</v>
      </c>
    </row>
    <row r="65" spans="1:3">
      <c r="A65" t="s">
        <v>95</v>
      </c>
      <c r="B65" t="s">
        <v>31</v>
      </c>
      <c r="C65">
        <v>3</v>
      </c>
    </row>
    <row r="66" spans="1:3">
      <c r="A66" t="s">
        <v>123</v>
      </c>
      <c r="B66" t="s">
        <v>31</v>
      </c>
      <c r="C66">
        <v>3</v>
      </c>
    </row>
    <row r="67" spans="1:3">
      <c r="A67" t="s">
        <v>123</v>
      </c>
      <c r="B67" t="s">
        <v>31</v>
      </c>
      <c r="C67">
        <v>3</v>
      </c>
    </row>
    <row r="68" spans="1:3">
      <c r="A68" t="s">
        <v>123</v>
      </c>
      <c r="B68" t="s">
        <v>31</v>
      </c>
      <c r="C68">
        <v>3</v>
      </c>
    </row>
    <row r="69" spans="1:3">
      <c r="A69" t="s">
        <v>96</v>
      </c>
      <c r="B69" t="s">
        <v>31</v>
      </c>
      <c r="C69">
        <v>3</v>
      </c>
    </row>
    <row r="70" spans="1:3">
      <c r="A70" t="s">
        <v>76</v>
      </c>
      <c r="B70" t="s">
        <v>31</v>
      </c>
      <c r="C70">
        <v>3</v>
      </c>
    </row>
    <row r="71" spans="1:3">
      <c r="A71" t="s">
        <v>76</v>
      </c>
      <c r="B71" t="s">
        <v>31</v>
      </c>
      <c r="C71">
        <v>3</v>
      </c>
    </row>
    <row r="72" spans="1:3">
      <c r="A72" t="s">
        <v>76</v>
      </c>
      <c r="B72" t="s">
        <v>31</v>
      </c>
      <c r="C72">
        <v>3</v>
      </c>
    </row>
    <row r="73" spans="1:3">
      <c r="A73" t="s">
        <v>76</v>
      </c>
      <c r="B73" t="s">
        <v>31</v>
      </c>
      <c r="C73">
        <v>3</v>
      </c>
    </row>
    <row r="74" spans="1:3">
      <c r="A74" t="s">
        <v>102</v>
      </c>
      <c r="B74" t="s">
        <v>31</v>
      </c>
      <c r="C74">
        <v>3</v>
      </c>
    </row>
    <row r="75" spans="1:3">
      <c r="A75" t="s">
        <v>102</v>
      </c>
      <c r="B75" t="s">
        <v>31</v>
      </c>
      <c r="C75">
        <v>3</v>
      </c>
    </row>
    <row r="76" spans="1:3">
      <c r="A76" t="s">
        <v>134</v>
      </c>
      <c r="B76" t="s">
        <v>31</v>
      </c>
      <c r="C76">
        <v>3</v>
      </c>
    </row>
    <row r="77" spans="1:3">
      <c r="A77" t="s">
        <v>134</v>
      </c>
      <c r="B77" t="s">
        <v>31</v>
      </c>
      <c r="C77">
        <v>3</v>
      </c>
    </row>
    <row r="78" spans="1:3">
      <c r="A78" t="s">
        <v>134</v>
      </c>
      <c r="B78" t="s">
        <v>31</v>
      </c>
      <c r="C78">
        <v>3</v>
      </c>
    </row>
    <row r="79" spans="1:3">
      <c r="A79" t="s">
        <v>131</v>
      </c>
      <c r="B79" t="s">
        <v>31</v>
      </c>
      <c r="C79">
        <v>3</v>
      </c>
    </row>
    <row r="80" spans="1:3">
      <c r="A80" t="s">
        <v>131</v>
      </c>
      <c r="B80" t="s">
        <v>31</v>
      </c>
      <c r="C80">
        <v>3</v>
      </c>
    </row>
    <row r="81" spans="1:3">
      <c r="A81" t="s">
        <v>155</v>
      </c>
      <c r="B81" t="s">
        <v>31</v>
      </c>
      <c r="C81">
        <v>3</v>
      </c>
    </row>
    <row r="82" spans="1:3">
      <c r="A82" t="s">
        <v>155</v>
      </c>
      <c r="B82" t="s">
        <v>31</v>
      </c>
      <c r="C82">
        <v>3</v>
      </c>
    </row>
    <row r="83" spans="1:3">
      <c r="A83" t="s">
        <v>155</v>
      </c>
      <c r="B83" t="s">
        <v>31</v>
      </c>
      <c r="C83">
        <v>3</v>
      </c>
    </row>
    <row r="84" spans="1:3">
      <c r="A84" t="s">
        <v>79</v>
      </c>
      <c r="B84" t="s">
        <v>31</v>
      </c>
      <c r="C84">
        <v>3</v>
      </c>
    </row>
    <row r="85" spans="1:3">
      <c r="A85" t="s">
        <v>79</v>
      </c>
      <c r="B85" t="s">
        <v>31</v>
      </c>
      <c r="C85">
        <v>3</v>
      </c>
    </row>
    <row r="86" spans="1:3">
      <c r="A86" t="s">
        <v>149</v>
      </c>
      <c r="B86" t="s">
        <v>31</v>
      </c>
      <c r="C86">
        <v>3</v>
      </c>
    </row>
    <row r="87" spans="1:3">
      <c r="A87" t="s">
        <v>141</v>
      </c>
      <c r="B87" t="s">
        <v>31</v>
      </c>
      <c r="C87">
        <v>3</v>
      </c>
    </row>
    <row r="88" spans="1:3">
      <c r="A88" t="s">
        <v>95</v>
      </c>
      <c r="B88" t="s">
        <v>31</v>
      </c>
      <c r="C88">
        <v>1</v>
      </c>
    </row>
    <row r="89" spans="1:3">
      <c r="A89" t="s">
        <v>76</v>
      </c>
      <c r="B89" t="s">
        <v>31</v>
      </c>
      <c r="C89">
        <v>1</v>
      </c>
    </row>
    <row r="90" spans="1:3">
      <c r="A90" t="s">
        <v>102</v>
      </c>
      <c r="B90" t="s">
        <v>31</v>
      </c>
      <c r="C90">
        <v>1</v>
      </c>
    </row>
    <row r="91" spans="1:3">
      <c r="A91" t="s">
        <v>102</v>
      </c>
      <c r="B91" t="s">
        <v>31</v>
      </c>
      <c r="C91">
        <v>1</v>
      </c>
    </row>
    <row r="92" spans="1:3">
      <c r="A92" t="s">
        <v>134</v>
      </c>
      <c r="B92" t="s">
        <v>31</v>
      </c>
      <c r="C92">
        <v>1</v>
      </c>
    </row>
    <row r="93" spans="1:3">
      <c r="A93" t="s">
        <v>131</v>
      </c>
      <c r="B93" t="s">
        <v>31</v>
      </c>
      <c r="C93">
        <v>1</v>
      </c>
    </row>
    <row r="94" spans="1:3">
      <c r="A94" t="s">
        <v>155</v>
      </c>
      <c r="B94" t="s">
        <v>31</v>
      </c>
      <c r="C94">
        <v>1</v>
      </c>
    </row>
    <row r="95" spans="1:3">
      <c r="A95" t="s">
        <v>79</v>
      </c>
      <c r="B95" t="s">
        <v>31</v>
      </c>
      <c r="C95">
        <v>1</v>
      </c>
    </row>
    <row r="96" spans="1:3">
      <c r="A96" t="s">
        <v>105</v>
      </c>
      <c r="B96" t="s">
        <v>31</v>
      </c>
      <c r="C96">
        <v>1</v>
      </c>
    </row>
    <row r="97" spans="1:3">
      <c r="A97" t="s">
        <v>105</v>
      </c>
      <c r="B97" t="s">
        <v>31</v>
      </c>
      <c r="C97">
        <v>1</v>
      </c>
    </row>
    <row r="98" spans="1:3">
      <c r="A98" t="s">
        <v>105</v>
      </c>
      <c r="B98" t="s">
        <v>31</v>
      </c>
      <c r="C98">
        <v>1</v>
      </c>
    </row>
    <row r="99" spans="1:3">
      <c r="A99" t="s">
        <v>149</v>
      </c>
      <c r="B99" t="s">
        <v>31</v>
      </c>
      <c r="C99">
        <v>1</v>
      </c>
    </row>
    <row r="100" spans="1:3">
      <c r="A100" t="s">
        <v>149</v>
      </c>
      <c r="B100" t="s">
        <v>31</v>
      </c>
      <c r="C100">
        <v>1</v>
      </c>
    </row>
    <row r="101" spans="1:3">
      <c r="A101" t="s">
        <v>149</v>
      </c>
      <c r="B101" t="s">
        <v>31</v>
      </c>
      <c r="C101">
        <v>1</v>
      </c>
    </row>
    <row r="102" spans="1:3">
      <c r="A102" t="s">
        <v>95</v>
      </c>
      <c r="B102" t="s">
        <v>31</v>
      </c>
      <c r="C102">
        <v>0</v>
      </c>
    </row>
    <row r="103" spans="1:3">
      <c r="A103" t="s">
        <v>123</v>
      </c>
      <c r="B103" t="s">
        <v>31</v>
      </c>
      <c r="C103">
        <v>0</v>
      </c>
    </row>
    <row r="104" spans="1:3">
      <c r="A104" t="s">
        <v>123</v>
      </c>
      <c r="B104" t="s">
        <v>31</v>
      </c>
      <c r="C104">
        <v>0</v>
      </c>
    </row>
    <row r="105" spans="1:3">
      <c r="A105" t="s">
        <v>123</v>
      </c>
      <c r="B105" t="s">
        <v>31</v>
      </c>
      <c r="C105">
        <v>0</v>
      </c>
    </row>
    <row r="106" spans="1:3">
      <c r="A106" t="s">
        <v>96</v>
      </c>
      <c r="B106" t="s">
        <v>31</v>
      </c>
      <c r="C106">
        <v>0</v>
      </c>
    </row>
    <row r="107" spans="1:3">
      <c r="A107" t="s">
        <v>96</v>
      </c>
      <c r="B107" t="s">
        <v>31</v>
      </c>
      <c r="C107">
        <v>0</v>
      </c>
    </row>
    <row r="108" spans="1:3">
      <c r="A108" t="s">
        <v>96</v>
      </c>
      <c r="B108" t="s">
        <v>31</v>
      </c>
      <c r="C108">
        <v>0</v>
      </c>
    </row>
    <row r="109" spans="1:3">
      <c r="A109" t="s">
        <v>96</v>
      </c>
      <c r="B109" t="s">
        <v>31</v>
      </c>
      <c r="C109">
        <v>0</v>
      </c>
    </row>
    <row r="110" spans="1:3">
      <c r="A110" t="s">
        <v>96</v>
      </c>
      <c r="B110" t="s">
        <v>31</v>
      </c>
      <c r="C110">
        <v>0</v>
      </c>
    </row>
    <row r="111" spans="1:3">
      <c r="A111" t="s">
        <v>76</v>
      </c>
      <c r="B111" t="s">
        <v>31</v>
      </c>
      <c r="C111">
        <v>0</v>
      </c>
    </row>
    <row r="112" spans="1:3">
      <c r="A112" t="s">
        <v>102</v>
      </c>
      <c r="B112" t="s">
        <v>31</v>
      </c>
      <c r="C112">
        <v>0</v>
      </c>
    </row>
    <row r="113" spans="1:3">
      <c r="A113" t="s">
        <v>102</v>
      </c>
      <c r="B113" t="s">
        <v>31</v>
      </c>
      <c r="C113">
        <v>0</v>
      </c>
    </row>
    <row r="114" spans="1:3">
      <c r="A114" t="s">
        <v>134</v>
      </c>
      <c r="B114" t="s">
        <v>31</v>
      </c>
      <c r="C114">
        <v>0</v>
      </c>
    </row>
    <row r="115" spans="1:3">
      <c r="A115" t="s">
        <v>134</v>
      </c>
      <c r="B115" t="s">
        <v>31</v>
      </c>
      <c r="C115">
        <v>0</v>
      </c>
    </row>
    <row r="116" spans="1:3">
      <c r="A116" t="s">
        <v>131</v>
      </c>
      <c r="B116" t="s">
        <v>31</v>
      </c>
      <c r="C116">
        <v>0</v>
      </c>
    </row>
    <row r="117" spans="1:3">
      <c r="A117" t="s">
        <v>131</v>
      </c>
      <c r="B117" t="s">
        <v>31</v>
      </c>
      <c r="C117">
        <v>0</v>
      </c>
    </row>
    <row r="118" spans="1:3">
      <c r="A118" t="s">
        <v>131</v>
      </c>
      <c r="B118" t="s">
        <v>31</v>
      </c>
      <c r="C118">
        <v>0</v>
      </c>
    </row>
    <row r="119" spans="1:3">
      <c r="A119" t="s">
        <v>155</v>
      </c>
      <c r="B119" t="s">
        <v>31</v>
      </c>
      <c r="C119">
        <v>0</v>
      </c>
    </row>
    <row r="120" spans="1:3">
      <c r="A120" t="s">
        <v>155</v>
      </c>
      <c r="B120" t="s">
        <v>31</v>
      </c>
      <c r="C120">
        <v>0</v>
      </c>
    </row>
    <row r="121" spans="1:3">
      <c r="A121" t="s">
        <v>79</v>
      </c>
      <c r="B121" t="s">
        <v>31</v>
      </c>
      <c r="C121">
        <v>0</v>
      </c>
    </row>
    <row r="122" spans="1:3">
      <c r="A122" t="s">
        <v>79</v>
      </c>
      <c r="B122" t="s">
        <v>31</v>
      </c>
      <c r="C122">
        <v>0</v>
      </c>
    </row>
    <row r="123" spans="1:3">
      <c r="A123" t="s">
        <v>79</v>
      </c>
      <c r="B123" t="s">
        <v>31</v>
      </c>
      <c r="C123">
        <v>0</v>
      </c>
    </row>
    <row r="124" spans="1:3">
      <c r="A124" t="s">
        <v>105</v>
      </c>
      <c r="B124" t="s">
        <v>31</v>
      </c>
      <c r="C124">
        <v>0</v>
      </c>
    </row>
    <row r="125" spans="1:3">
      <c r="A125" t="s">
        <v>105</v>
      </c>
      <c r="B125" t="s">
        <v>31</v>
      </c>
      <c r="C125">
        <v>0</v>
      </c>
    </row>
    <row r="126" spans="1:3">
      <c r="A126" t="s">
        <v>105</v>
      </c>
      <c r="B126" t="s">
        <v>31</v>
      </c>
      <c r="C126">
        <v>0</v>
      </c>
    </row>
    <row r="127" spans="1:3">
      <c r="A127" t="s">
        <v>149</v>
      </c>
      <c r="B127" t="s">
        <v>31</v>
      </c>
      <c r="C127">
        <v>0</v>
      </c>
    </row>
    <row r="128" spans="1:3">
      <c r="A128" t="s">
        <v>149</v>
      </c>
      <c r="B128" t="s">
        <v>31</v>
      </c>
      <c r="C128">
        <v>0</v>
      </c>
    </row>
    <row r="129" spans="1:6">
      <c r="A129" t="s">
        <v>141</v>
      </c>
      <c r="B129" t="s">
        <v>31</v>
      </c>
      <c r="C129">
        <v>0</v>
      </c>
    </row>
    <row r="130" spans="1:6">
      <c r="A130" t="s">
        <v>141</v>
      </c>
      <c r="B130" t="s">
        <v>31</v>
      </c>
      <c r="C130">
        <v>0</v>
      </c>
    </row>
    <row r="131" spans="1:6">
      <c r="A131" t="s">
        <v>141</v>
      </c>
      <c r="B131" t="s">
        <v>31</v>
      </c>
      <c r="C131">
        <v>0</v>
      </c>
    </row>
    <row r="132" spans="1:6">
      <c r="A132" t="s">
        <v>141</v>
      </c>
      <c r="B132" t="s">
        <v>31</v>
      </c>
      <c r="C132">
        <v>0</v>
      </c>
    </row>
    <row r="133" spans="1:6">
      <c r="A133" t="s">
        <v>141</v>
      </c>
      <c r="B133" t="s">
        <v>31</v>
      </c>
      <c r="C133">
        <v>0</v>
      </c>
    </row>
    <row r="134" spans="1:6">
      <c r="A134" t="s">
        <v>116</v>
      </c>
      <c r="B134" t="s">
        <v>36</v>
      </c>
      <c r="C134">
        <v>3</v>
      </c>
      <c r="F134">
        <v>1.5</v>
      </c>
    </row>
    <row r="135" spans="1:6">
      <c r="A135" t="s">
        <v>116</v>
      </c>
      <c r="B135" t="s">
        <v>36</v>
      </c>
      <c r="C135">
        <v>3</v>
      </c>
    </row>
    <row r="136" spans="1:6">
      <c r="A136" t="s">
        <v>116</v>
      </c>
      <c r="B136" t="s">
        <v>36</v>
      </c>
      <c r="C136">
        <v>3</v>
      </c>
    </row>
    <row r="137" spans="1:6">
      <c r="A137" t="s">
        <v>116</v>
      </c>
      <c r="B137" t="s">
        <v>36</v>
      </c>
      <c r="C137">
        <v>3</v>
      </c>
    </row>
    <row r="138" spans="1:6">
      <c r="A138" t="s">
        <v>86</v>
      </c>
      <c r="B138" t="s">
        <v>36</v>
      </c>
      <c r="C138">
        <v>3</v>
      </c>
    </row>
    <row r="139" spans="1:6">
      <c r="A139" t="s">
        <v>116</v>
      </c>
      <c r="B139" t="s">
        <v>36</v>
      </c>
      <c r="C139">
        <v>1</v>
      </c>
    </row>
    <row r="140" spans="1:6">
      <c r="A140" t="s">
        <v>86</v>
      </c>
      <c r="B140" t="s">
        <v>36</v>
      </c>
      <c r="C140">
        <v>1</v>
      </c>
    </row>
    <row r="141" spans="1:6">
      <c r="A141" t="s">
        <v>86</v>
      </c>
      <c r="B141" t="s">
        <v>36</v>
      </c>
      <c r="C141">
        <v>1</v>
      </c>
    </row>
    <row r="142" spans="1:6">
      <c r="A142" t="s">
        <v>116</v>
      </c>
      <c r="B142" t="s">
        <v>36</v>
      </c>
      <c r="C142">
        <v>0</v>
      </c>
    </row>
    <row r="143" spans="1:6">
      <c r="A143" t="s">
        <v>86</v>
      </c>
      <c r="B143" t="s">
        <v>36</v>
      </c>
      <c r="C143">
        <v>0</v>
      </c>
    </row>
    <row r="144" spans="1:6">
      <c r="A144" t="s">
        <v>86</v>
      </c>
      <c r="B144" t="s">
        <v>36</v>
      </c>
      <c r="C144">
        <v>0</v>
      </c>
    </row>
    <row r="145" spans="1:6">
      <c r="A145" t="s">
        <v>86</v>
      </c>
      <c r="B145" t="s">
        <v>36</v>
      </c>
      <c r="C145">
        <v>0</v>
      </c>
    </row>
    <row r="146" spans="1:6">
      <c r="A146" t="s">
        <v>93</v>
      </c>
      <c r="B146" t="s">
        <v>33</v>
      </c>
      <c r="C146">
        <v>3</v>
      </c>
      <c r="F146">
        <v>0.89</v>
      </c>
    </row>
    <row r="147" spans="1:6">
      <c r="A147" t="s">
        <v>93</v>
      </c>
      <c r="B147" t="s">
        <v>33</v>
      </c>
      <c r="C147">
        <v>3</v>
      </c>
    </row>
    <row r="148" spans="1:6">
      <c r="A148" t="s">
        <v>93</v>
      </c>
      <c r="B148" t="s">
        <v>33</v>
      </c>
      <c r="C148">
        <v>3</v>
      </c>
    </row>
    <row r="149" spans="1:6">
      <c r="A149" t="s">
        <v>138</v>
      </c>
      <c r="B149" t="s">
        <v>33</v>
      </c>
      <c r="C149">
        <v>3</v>
      </c>
    </row>
    <row r="150" spans="1:6">
      <c r="A150" t="s">
        <v>156</v>
      </c>
      <c r="B150" t="s">
        <v>33</v>
      </c>
      <c r="C150">
        <v>3</v>
      </c>
    </row>
    <row r="151" spans="1:6">
      <c r="A151" t="s">
        <v>138</v>
      </c>
      <c r="B151" t="s">
        <v>33</v>
      </c>
      <c r="C151">
        <v>1</v>
      </c>
    </row>
    <row r="152" spans="1:6">
      <c r="A152" t="s">
        <v>93</v>
      </c>
      <c r="B152" t="s">
        <v>33</v>
      </c>
      <c r="C152">
        <v>0</v>
      </c>
    </row>
    <row r="153" spans="1:6">
      <c r="A153" t="s">
        <v>93</v>
      </c>
      <c r="B153" t="s">
        <v>33</v>
      </c>
      <c r="C153">
        <v>0</v>
      </c>
    </row>
    <row r="154" spans="1:6">
      <c r="A154" t="s">
        <v>93</v>
      </c>
      <c r="B154" t="s">
        <v>33</v>
      </c>
      <c r="C154">
        <v>0</v>
      </c>
    </row>
    <row r="155" spans="1:6">
      <c r="A155" t="s">
        <v>138</v>
      </c>
      <c r="B155" t="s">
        <v>33</v>
      </c>
      <c r="C155">
        <v>0</v>
      </c>
    </row>
    <row r="156" spans="1:6">
      <c r="A156" t="s">
        <v>138</v>
      </c>
      <c r="B156" t="s">
        <v>33</v>
      </c>
      <c r="C156">
        <v>0</v>
      </c>
    </row>
    <row r="157" spans="1:6">
      <c r="A157" t="s">
        <v>138</v>
      </c>
      <c r="B157" t="s">
        <v>33</v>
      </c>
      <c r="C157">
        <v>0</v>
      </c>
    </row>
    <row r="158" spans="1:6">
      <c r="A158" t="s">
        <v>138</v>
      </c>
      <c r="B158" t="s">
        <v>33</v>
      </c>
      <c r="C158">
        <v>0</v>
      </c>
    </row>
    <row r="159" spans="1:6">
      <c r="A159" t="s">
        <v>156</v>
      </c>
      <c r="B159" t="s">
        <v>33</v>
      </c>
      <c r="C159">
        <v>0</v>
      </c>
    </row>
    <row r="160" spans="1:6">
      <c r="A160" t="s">
        <v>156</v>
      </c>
      <c r="B160" t="s">
        <v>33</v>
      </c>
      <c r="C160">
        <v>0</v>
      </c>
    </row>
    <row r="161" spans="1:6">
      <c r="A161" t="s">
        <v>156</v>
      </c>
      <c r="B161" t="s">
        <v>33</v>
      </c>
      <c r="C161">
        <v>0</v>
      </c>
    </row>
    <row r="162" spans="1:6">
      <c r="A162" t="s">
        <v>156</v>
      </c>
      <c r="B162" t="s">
        <v>33</v>
      </c>
      <c r="C162">
        <v>0</v>
      </c>
    </row>
    <row r="163" spans="1:6">
      <c r="A163" t="s">
        <v>144</v>
      </c>
      <c r="B163" t="s">
        <v>33</v>
      </c>
      <c r="C163">
        <v>0</v>
      </c>
    </row>
    <row r="164" spans="1:6">
      <c r="A164" t="s">
        <v>87</v>
      </c>
      <c r="B164" t="s">
        <v>30</v>
      </c>
      <c r="C164">
        <v>3</v>
      </c>
      <c r="F164">
        <v>1.34</v>
      </c>
    </row>
    <row r="165" spans="1:6">
      <c r="A165" t="s">
        <v>87</v>
      </c>
      <c r="B165" t="s">
        <v>30</v>
      </c>
      <c r="C165">
        <v>3</v>
      </c>
    </row>
    <row r="166" spans="1:6">
      <c r="A166" t="s">
        <v>73</v>
      </c>
      <c r="B166" t="s">
        <v>30</v>
      </c>
      <c r="C166">
        <v>3</v>
      </c>
    </row>
    <row r="167" spans="1:6">
      <c r="A167" t="s">
        <v>73</v>
      </c>
      <c r="B167" t="s">
        <v>30</v>
      </c>
      <c r="C167">
        <v>3</v>
      </c>
    </row>
    <row r="168" spans="1:6">
      <c r="A168" t="s">
        <v>73</v>
      </c>
      <c r="B168" t="s">
        <v>30</v>
      </c>
      <c r="C168">
        <v>3</v>
      </c>
    </row>
    <row r="169" spans="1:6">
      <c r="A169" t="s">
        <v>73</v>
      </c>
      <c r="B169" t="s">
        <v>30</v>
      </c>
      <c r="C169">
        <v>3</v>
      </c>
    </row>
    <row r="170" spans="1:6">
      <c r="A170" t="s">
        <v>92</v>
      </c>
      <c r="B170" t="s">
        <v>30</v>
      </c>
      <c r="C170">
        <v>3</v>
      </c>
    </row>
    <row r="171" spans="1:6">
      <c r="A171" t="s">
        <v>92</v>
      </c>
      <c r="B171" t="s">
        <v>30</v>
      </c>
      <c r="C171">
        <v>3</v>
      </c>
    </row>
    <row r="172" spans="1:6">
      <c r="A172" t="s">
        <v>92</v>
      </c>
      <c r="B172" t="s">
        <v>30</v>
      </c>
      <c r="C172">
        <v>3</v>
      </c>
    </row>
    <row r="173" spans="1:6">
      <c r="A173" t="s">
        <v>77</v>
      </c>
      <c r="B173" t="s">
        <v>30</v>
      </c>
      <c r="C173">
        <v>3</v>
      </c>
    </row>
    <row r="174" spans="1:6">
      <c r="A174" t="s">
        <v>77</v>
      </c>
      <c r="B174" t="s">
        <v>30</v>
      </c>
      <c r="C174">
        <v>3</v>
      </c>
    </row>
    <row r="175" spans="1:6">
      <c r="A175" t="s">
        <v>146</v>
      </c>
      <c r="B175" t="s">
        <v>30</v>
      </c>
      <c r="C175">
        <v>3</v>
      </c>
    </row>
    <row r="176" spans="1:6">
      <c r="A176" t="s">
        <v>146</v>
      </c>
      <c r="B176" t="s">
        <v>30</v>
      </c>
      <c r="C176">
        <v>3</v>
      </c>
    </row>
    <row r="177" spans="1:3">
      <c r="A177" t="s">
        <v>146</v>
      </c>
      <c r="B177" t="s">
        <v>30</v>
      </c>
      <c r="C177">
        <v>3</v>
      </c>
    </row>
    <row r="178" spans="1:3">
      <c r="A178" t="s">
        <v>182</v>
      </c>
      <c r="B178" t="s">
        <v>30</v>
      </c>
      <c r="C178">
        <v>3</v>
      </c>
    </row>
    <row r="179" spans="1:3">
      <c r="A179" t="s">
        <v>182</v>
      </c>
      <c r="B179" t="s">
        <v>30</v>
      </c>
      <c r="C179">
        <v>3</v>
      </c>
    </row>
    <row r="180" spans="1:3">
      <c r="A180" t="s">
        <v>182</v>
      </c>
      <c r="B180" t="s">
        <v>30</v>
      </c>
      <c r="C180">
        <v>3</v>
      </c>
    </row>
    <row r="181" spans="1:3">
      <c r="A181" t="s">
        <v>182</v>
      </c>
      <c r="B181" t="s">
        <v>30</v>
      </c>
      <c r="C181">
        <v>3</v>
      </c>
    </row>
    <row r="182" spans="1:3">
      <c r="A182" t="s">
        <v>182</v>
      </c>
      <c r="B182" t="s">
        <v>30</v>
      </c>
      <c r="C182">
        <v>3</v>
      </c>
    </row>
    <row r="183" spans="1:3">
      <c r="A183" t="s">
        <v>182</v>
      </c>
      <c r="B183" t="s">
        <v>30</v>
      </c>
      <c r="C183">
        <v>3</v>
      </c>
    </row>
    <row r="184" spans="1:3">
      <c r="A184" t="s">
        <v>125</v>
      </c>
      <c r="B184" t="s">
        <v>30</v>
      </c>
      <c r="C184">
        <v>3</v>
      </c>
    </row>
    <row r="185" spans="1:3">
      <c r="A185" t="s">
        <v>125</v>
      </c>
      <c r="B185" t="s">
        <v>30</v>
      </c>
      <c r="C185">
        <v>3</v>
      </c>
    </row>
    <row r="186" spans="1:3">
      <c r="A186" t="s">
        <v>82</v>
      </c>
      <c r="B186" t="s">
        <v>30</v>
      </c>
      <c r="C186">
        <v>3</v>
      </c>
    </row>
    <row r="187" spans="1:3">
      <c r="A187" t="s">
        <v>82</v>
      </c>
      <c r="B187" t="s">
        <v>30</v>
      </c>
      <c r="C187">
        <v>3</v>
      </c>
    </row>
    <row r="188" spans="1:3">
      <c r="A188" t="s">
        <v>80</v>
      </c>
      <c r="B188" t="s">
        <v>30</v>
      </c>
      <c r="C188">
        <v>3</v>
      </c>
    </row>
    <row r="189" spans="1:3">
      <c r="A189" t="s">
        <v>80</v>
      </c>
      <c r="B189" t="s">
        <v>30</v>
      </c>
      <c r="C189">
        <v>3</v>
      </c>
    </row>
    <row r="190" spans="1:3">
      <c r="A190" s="105" t="s">
        <v>80</v>
      </c>
      <c r="B190" s="105" t="s">
        <v>30</v>
      </c>
      <c r="C190">
        <v>3</v>
      </c>
    </row>
    <row r="191" spans="1:3">
      <c r="A191" t="s">
        <v>73</v>
      </c>
      <c r="B191" t="s">
        <v>30</v>
      </c>
      <c r="C191">
        <v>1</v>
      </c>
    </row>
    <row r="192" spans="1:3">
      <c r="A192" t="s">
        <v>92</v>
      </c>
      <c r="B192" t="s">
        <v>30</v>
      </c>
      <c r="C192">
        <v>1</v>
      </c>
    </row>
    <row r="193" spans="1:3">
      <c r="A193" t="s">
        <v>92</v>
      </c>
      <c r="B193" t="s">
        <v>30</v>
      </c>
      <c r="C193">
        <v>1</v>
      </c>
    </row>
    <row r="194" spans="1:3">
      <c r="A194" t="s">
        <v>77</v>
      </c>
      <c r="B194" t="s">
        <v>30</v>
      </c>
      <c r="C194">
        <v>1</v>
      </c>
    </row>
    <row r="195" spans="1:3">
      <c r="A195" t="s">
        <v>146</v>
      </c>
      <c r="B195" t="s">
        <v>30</v>
      </c>
      <c r="C195">
        <v>1</v>
      </c>
    </row>
    <row r="196" spans="1:3">
      <c r="A196" t="s">
        <v>182</v>
      </c>
      <c r="B196" t="s">
        <v>30</v>
      </c>
      <c r="C196">
        <v>1</v>
      </c>
    </row>
    <row r="197" spans="1:3">
      <c r="A197" t="s">
        <v>82</v>
      </c>
      <c r="B197" t="s">
        <v>30</v>
      </c>
      <c r="C197">
        <v>1</v>
      </c>
    </row>
    <row r="198" spans="1:3">
      <c r="A198" t="s">
        <v>80</v>
      </c>
      <c r="B198" t="s">
        <v>30</v>
      </c>
      <c r="C198">
        <v>1</v>
      </c>
    </row>
    <row r="199" spans="1:3">
      <c r="A199" t="s">
        <v>161</v>
      </c>
      <c r="B199" t="s">
        <v>30</v>
      </c>
      <c r="C199">
        <v>0</v>
      </c>
    </row>
    <row r="200" spans="1:3">
      <c r="A200" t="s">
        <v>161</v>
      </c>
      <c r="B200" t="s">
        <v>30</v>
      </c>
      <c r="C200">
        <v>0</v>
      </c>
    </row>
    <row r="201" spans="1:3">
      <c r="A201" t="s">
        <v>161</v>
      </c>
      <c r="B201" t="s">
        <v>30</v>
      </c>
      <c r="C201">
        <v>0</v>
      </c>
    </row>
    <row r="202" spans="1:3">
      <c r="A202" t="s">
        <v>161</v>
      </c>
      <c r="B202" t="s">
        <v>30</v>
      </c>
      <c r="C202">
        <v>0</v>
      </c>
    </row>
    <row r="203" spans="1:3">
      <c r="A203" t="s">
        <v>161</v>
      </c>
      <c r="B203" t="s">
        <v>30</v>
      </c>
      <c r="C203">
        <v>0</v>
      </c>
    </row>
    <row r="204" spans="1:3">
      <c r="A204" t="s">
        <v>161</v>
      </c>
      <c r="B204" t="s">
        <v>30</v>
      </c>
      <c r="C204">
        <v>0</v>
      </c>
    </row>
    <row r="205" spans="1:3">
      <c r="A205" t="s">
        <v>87</v>
      </c>
      <c r="B205" t="s">
        <v>30</v>
      </c>
      <c r="C205">
        <v>0</v>
      </c>
    </row>
    <row r="206" spans="1:3">
      <c r="A206" t="s">
        <v>87</v>
      </c>
      <c r="B206" t="s">
        <v>30</v>
      </c>
      <c r="C206">
        <v>0</v>
      </c>
    </row>
    <row r="207" spans="1:3">
      <c r="A207" t="s">
        <v>87</v>
      </c>
      <c r="B207" t="s">
        <v>30</v>
      </c>
      <c r="C207">
        <v>0</v>
      </c>
    </row>
    <row r="208" spans="1:3">
      <c r="A208" t="s">
        <v>87</v>
      </c>
      <c r="B208" t="s">
        <v>30</v>
      </c>
      <c r="C208">
        <v>0</v>
      </c>
    </row>
    <row r="209" spans="1:3">
      <c r="A209" t="s">
        <v>73</v>
      </c>
      <c r="B209" t="s">
        <v>30</v>
      </c>
      <c r="C209">
        <v>0</v>
      </c>
    </row>
    <row r="210" spans="1:3">
      <c r="A210" t="s">
        <v>92</v>
      </c>
      <c r="B210" t="s">
        <v>30</v>
      </c>
      <c r="C210">
        <v>0</v>
      </c>
    </row>
    <row r="211" spans="1:3">
      <c r="A211" t="s">
        <v>77</v>
      </c>
      <c r="B211" t="s">
        <v>30</v>
      </c>
      <c r="C211">
        <v>0</v>
      </c>
    </row>
    <row r="212" spans="1:3">
      <c r="A212" t="s">
        <v>77</v>
      </c>
      <c r="B212" t="s">
        <v>30</v>
      </c>
      <c r="C212">
        <v>0</v>
      </c>
    </row>
    <row r="213" spans="1:3">
      <c r="A213" t="s">
        <v>77</v>
      </c>
      <c r="B213" t="s">
        <v>30</v>
      </c>
      <c r="C213">
        <v>0</v>
      </c>
    </row>
    <row r="214" spans="1:3">
      <c r="A214" t="s">
        <v>146</v>
      </c>
      <c r="B214" t="s">
        <v>30</v>
      </c>
      <c r="C214">
        <v>0</v>
      </c>
    </row>
    <row r="215" spans="1:3">
      <c r="A215" t="s">
        <v>146</v>
      </c>
      <c r="B215" t="s">
        <v>30</v>
      </c>
      <c r="C215">
        <v>0</v>
      </c>
    </row>
    <row r="216" spans="1:3">
      <c r="A216" t="s">
        <v>182</v>
      </c>
      <c r="B216" t="s">
        <v>30</v>
      </c>
      <c r="C216">
        <v>0</v>
      </c>
    </row>
    <row r="217" spans="1:3">
      <c r="A217" t="s">
        <v>182</v>
      </c>
      <c r="B217" t="s">
        <v>30</v>
      </c>
      <c r="C217">
        <v>0</v>
      </c>
    </row>
    <row r="218" spans="1:3">
      <c r="A218" t="s">
        <v>182</v>
      </c>
      <c r="B218" t="s">
        <v>30</v>
      </c>
      <c r="C218">
        <v>0</v>
      </c>
    </row>
    <row r="219" spans="1:3">
      <c r="A219" t="s">
        <v>182</v>
      </c>
      <c r="B219" t="s">
        <v>30</v>
      </c>
      <c r="C219">
        <v>0</v>
      </c>
    </row>
    <row r="220" spans="1:3">
      <c r="A220" t="s">
        <v>182</v>
      </c>
      <c r="B220" t="s">
        <v>30</v>
      </c>
      <c r="C220">
        <v>0</v>
      </c>
    </row>
    <row r="221" spans="1:3">
      <c r="A221" t="s">
        <v>125</v>
      </c>
      <c r="B221" t="s">
        <v>30</v>
      </c>
      <c r="C221">
        <v>0</v>
      </c>
    </row>
    <row r="222" spans="1:3">
      <c r="A222" t="s">
        <v>125</v>
      </c>
      <c r="B222" t="s">
        <v>30</v>
      </c>
      <c r="C222">
        <v>0</v>
      </c>
    </row>
    <row r="223" spans="1:3">
      <c r="A223" t="s">
        <v>125</v>
      </c>
      <c r="B223" t="s">
        <v>30</v>
      </c>
      <c r="C223">
        <v>0</v>
      </c>
    </row>
    <row r="224" spans="1:3">
      <c r="A224" t="s">
        <v>125</v>
      </c>
      <c r="B224" t="s">
        <v>30</v>
      </c>
      <c r="C224">
        <v>0</v>
      </c>
    </row>
    <row r="225" spans="1:6">
      <c r="A225" t="s">
        <v>82</v>
      </c>
      <c r="B225" t="s">
        <v>30</v>
      </c>
      <c r="C225">
        <v>0</v>
      </c>
    </row>
    <row r="226" spans="1:6">
      <c r="A226" t="s">
        <v>82</v>
      </c>
      <c r="B226" t="s">
        <v>30</v>
      </c>
      <c r="C226">
        <v>0</v>
      </c>
    </row>
    <row r="227" spans="1:6">
      <c r="A227" t="s">
        <v>82</v>
      </c>
      <c r="B227" t="s">
        <v>30</v>
      </c>
      <c r="C227">
        <v>0</v>
      </c>
    </row>
    <row r="228" spans="1:6">
      <c r="A228" t="s">
        <v>80</v>
      </c>
      <c r="B228" t="s">
        <v>30</v>
      </c>
      <c r="C228">
        <v>0</v>
      </c>
    </row>
    <row r="229" spans="1:6">
      <c r="A229" t="s">
        <v>80</v>
      </c>
      <c r="B229" t="s">
        <v>30</v>
      </c>
      <c r="C229">
        <v>0</v>
      </c>
    </row>
    <row r="230" spans="1:6">
      <c r="A230" t="s">
        <v>150</v>
      </c>
      <c r="B230" t="s">
        <v>32</v>
      </c>
      <c r="C230">
        <v>3</v>
      </c>
      <c r="F230">
        <v>1.7</v>
      </c>
    </row>
    <row r="231" spans="1:6">
      <c r="A231" t="s">
        <v>150</v>
      </c>
      <c r="B231" t="s">
        <v>32</v>
      </c>
      <c r="C231">
        <v>3</v>
      </c>
    </row>
    <row r="232" spans="1:6">
      <c r="A232" t="s">
        <v>150</v>
      </c>
      <c r="B232" t="s">
        <v>32</v>
      </c>
      <c r="C232">
        <v>3</v>
      </c>
    </row>
    <row r="233" spans="1:6">
      <c r="A233" t="s">
        <v>119</v>
      </c>
      <c r="B233" t="s">
        <v>32</v>
      </c>
      <c r="C233">
        <v>3</v>
      </c>
    </row>
    <row r="234" spans="1:6">
      <c r="A234" t="s">
        <v>119</v>
      </c>
      <c r="B234" t="s">
        <v>32</v>
      </c>
      <c r="C234">
        <v>3</v>
      </c>
    </row>
    <row r="235" spans="1:6">
      <c r="A235" t="s">
        <v>119</v>
      </c>
      <c r="B235" t="s">
        <v>32</v>
      </c>
      <c r="C235">
        <v>3</v>
      </c>
    </row>
    <row r="236" spans="1:6">
      <c r="A236" t="s">
        <v>119</v>
      </c>
      <c r="B236" t="s">
        <v>32</v>
      </c>
      <c r="C236">
        <v>3</v>
      </c>
    </row>
    <row r="237" spans="1:6">
      <c r="A237" t="s">
        <v>147</v>
      </c>
      <c r="B237" t="s">
        <v>32</v>
      </c>
      <c r="C237">
        <v>3</v>
      </c>
    </row>
    <row r="238" spans="1:6">
      <c r="A238" t="s">
        <v>104</v>
      </c>
      <c r="B238" t="s">
        <v>32</v>
      </c>
      <c r="C238">
        <v>3</v>
      </c>
    </row>
    <row r="239" spans="1:6">
      <c r="A239" t="s">
        <v>104</v>
      </c>
      <c r="B239" t="s">
        <v>32</v>
      </c>
      <c r="C239">
        <v>3</v>
      </c>
    </row>
    <row r="240" spans="1:6">
      <c r="A240" t="s">
        <v>104</v>
      </c>
      <c r="B240" t="s">
        <v>32</v>
      </c>
      <c r="C240">
        <v>3</v>
      </c>
    </row>
    <row r="241" spans="1:3">
      <c r="A241" t="s">
        <v>104</v>
      </c>
      <c r="B241" t="s">
        <v>32</v>
      </c>
      <c r="C241">
        <v>3</v>
      </c>
    </row>
    <row r="242" spans="1:3">
      <c r="A242" t="s">
        <v>89</v>
      </c>
      <c r="B242" t="s">
        <v>32</v>
      </c>
      <c r="C242">
        <v>3</v>
      </c>
    </row>
    <row r="243" spans="1:3">
      <c r="A243" t="s">
        <v>89</v>
      </c>
      <c r="B243" t="s">
        <v>32</v>
      </c>
      <c r="C243">
        <v>3</v>
      </c>
    </row>
    <row r="244" spans="1:3">
      <c r="A244" t="s">
        <v>89</v>
      </c>
      <c r="B244" t="s">
        <v>32</v>
      </c>
      <c r="C244">
        <v>3</v>
      </c>
    </row>
    <row r="245" spans="1:3">
      <c r="A245" t="s">
        <v>89</v>
      </c>
      <c r="B245" t="s">
        <v>32</v>
      </c>
      <c r="C245">
        <v>3</v>
      </c>
    </row>
    <row r="246" spans="1:3">
      <c r="A246" t="s">
        <v>89</v>
      </c>
      <c r="B246" t="s">
        <v>32</v>
      </c>
      <c r="C246">
        <v>3</v>
      </c>
    </row>
    <row r="247" spans="1:3">
      <c r="A247" t="s">
        <v>137</v>
      </c>
      <c r="B247" t="s">
        <v>32</v>
      </c>
      <c r="C247">
        <v>3</v>
      </c>
    </row>
    <row r="248" spans="1:3">
      <c r="A248" t="s">
        <v>137</v>
      </c>
      <c r="B248" t="s">
        <v>32</v>
      </c>
      <c r="C248">
        <v>3</v>
      </c>
    </row>
    <row r="249" spans="1:3">
      <c r="A249" t="s">
        <v>137</v>
      </c>
      <c r="B249" t="s">
        <v>32</v>
      </c>
      <c r="C249">
        <v>3</v>
      </c>
    </row>
    <row r="250" spans="1:3">
      <c r="A250" t="s">
        <v>74</v>
      </c>
      <c r="B250" t="s">
        <v>32</v>
      </c>
      <c r="C250">
        <v>3</v>
      </c>
    </row>
    <row r="251" spans="1:3">
      <c r="A251" t="s">
        <v>120</v>
      </c>
      <c r="B251" t="s">
        <v>32</v>
      </c>
      <c r="C251">
        <v>3</v>
      </c>
    </row>
    <row r="252" spans="1:3">
      <c r="A252" t="s">
        <v>120</v>
      </c>
      <c r="B252" t="s">
        <v>32</v>
      </c>
      <c r="C252">
        <v>3</v>
      </c>
    </row>
    <row r="253" spans="1:3">
      <c r="A253" t="s">
        <v>129</v>
      </c>
      <c r="B253" t="s">
        <v>32</v>
      </c>
      <c r="C253">
        <v>3</v>
      </c>
    </row>
    <row r="254" spans="1:3">
      <c r="A254" t="s">
        <v>129</v>
      </c>
      <c r="B254" t="s">
        <v>32</v>
      </c>
      <c r="C254">
        <v>3</v>
      </c>
    </row>
    <row r="255" spans="1:3">
      <c r="A255" t="s">
        <v>90</v>
      </c>
      <c r="B255" t="s">
        <v>32</v>
      </c>
      <c r="C255">
        <v>3</v>
      </c>
    </row>
    <row r="256" spans="1:3">
      <c r="A256" t="s">
        <v>90</v>
      </c>
      <c r="B256" t="s">
        <v>32</v>
      </c>
      <c r="C256">
        <v>3</v>
      </c>
    </row>
    <row r="257" spans="1:3">
      <c r="A257" t="s">
        <v>90</v>
      </c>
      <c r="B257" t="s">
        <v>32</v>
      </c>
      <c r="C257">
        <v>3</v>
      </c>
    </row>
    <row r="258" spans="1:3">
      <c r="A258" t="s">
        <v>90</v>
      </c>
      <c r="B258" t="s">
        <v>32</v>
      </c>
      <c r="C258">
        <v>3</v>
      </c>
    </row>
    <row r="259" spans="1:3">
      <c r="A259" t="s">
        <v>90</v>
      </c>
      <c r="B259" t="s">
        <v>32</v>
      </c>
      <c r="C259">
        <v>3</v>
      </c>
    </row>
    <row r="260" spans="1:3">
      <c r="A260" t="s">
        <v>150</v>
      </c>
      <c r="B260" t="s">
        <v>32</v>
      </c>
      <c r="C260">
        <v>1</v>
      </c>
    </row>
    <row r="261" spans="1:3">
      <c r="A261" t="s">
        <v>150</v>
      </c>
      <c r="B261" t="s">
        <v>32</v>
      </c>
      <c r="C261">
        <v>1</v>
      </c>
    </row>
    <row r="262" spans="1:3">
      <c r="A262" t="s">
        <v>119</v>
      </c>
      <c r="B262" t="s">
        <v>32</v>
      </c>
      <c r="C262">
        <v>1</v>
      </c>
    </row>
    <row r="263" spans="1:3">
      <c r="A263" t="s">
        <v>119</v>
      </c>
      <c r="B263" t="s">
        <v>32</v>
      </c>
      <c r="C263">
        <v>1</v>
      </c>
    </row>
    <row r="264" spans="1:3">
      <c r="A264" t="s">
        <v>147</v>
      </c>
      <c r="B264" t="s">
        <v>32</v>
      </c>
      <c r="C264">
        <v>1</v>
      </c>
    </row>
    <row r="265" spans="1:3">
      <c r="A265" t="s">
        <v>104</v>
      </c>
      <c r="B265" t="s">
        <v>32</v>
      </c>
      <c r="C265">
        <v>1</v>
      </c>
    </row>
    <row r="266" spans="1:3">
      <c r="A266" t="s">
        <v>137</v>
      </c>
      <c r="B266" t="s">
        <v>32</v>
      </c>
      <c r="C266">
        <v>1</v>
      </c>
    </row>
    <row r="267" spans="1:3">
      <c r="A267" t="s">
        <v>120</v>
      </c>
      <c r="B267" t="s">
        <v>32</v>
      </c>
      <c r="C267">
        <v>1</v>
      </c>
    </row>
    <row r="268" spans="1:3">
      <c r="A268" t="s">
        <v>120</v>
      </c>
      <c r="B268" t="s">
        <v>32</v>
      </c>
      <c r="C268">
        <v>1</v>
      </c>
    </row>
    <row r="269" spans="1:3">
      <c r="A269" t="s">
        <v>120</v>
      </c>
      <c r="B269" t="s">
        <v>32</v>
      </c>
      <c r="C269">
        <v>1</v>
      </c>
    </row>
    <row r="270" spans="1:3">
      <c r="A270" t="s">
        <v>129</v>
      </c>
      <c r="B270" t="s">
        <v>32</v>
      </c>
      <c r="C270">
        <v>1</v>
      </c>
    </row>
    <row r="271" spans="1:3">
      <c r="A271" t="s">
        <v>90</v>
      </c>
      <c r="B271" t="s">
        <v>32</v>
      </c>
      <c r="C271">
        <v>1</v>
      </c>
    </row>
    <row r="272" spans="1:3">
      <c r="A272" t="s">
        <v>150</v>
      </c>
      <c r="B272" t="s">
        <v>32</v>
      </c>
      <c r="C272">
        <v>0</v>
      </c>
    </row>
    <row r="273" spans="1:3">
      <c r="A273" t="s">
        <v>147</v>
      </c>
      <c r="B273" t="s">
        <v>32</v>
      </c>
      <c r="C273">
        <v>0</v>
      </c>
    </row>
    <row r="274" spans="1:3">
      <c r="A274" t="s">
        <v>147</v>
      </c>
      <c r="B274" t="s">
        <v>32</v>
      </c>
      <c r="C274">
        <v>0</v>
      </c>
    </row>
    <row r="275" spans="1:3">
      <c r="A275" t="s">
        <v>147</v>
      </c>
      <c r="B275" t="s">
        <v>32</v>
      </c>
      <c r="C275">
        <v>0</v>
      </c>
    </row>
    <row r="276" spans="1:3">
      <c r="A276" t="s">
        <v>147</v>
      </c>
      <c r="B276" t="s">
        <v>32</v>
      </c>
      <c r="C276">
        <v>0</v>
      </c>
    </row>
    <row r="277" spans="1:3">
      <c r="A277" t="s">
        <v>104</v>
      </c>
      <c r="B277" t="s">
        <v>32</v>
      </c>
      <c r="C277">
        <v>0</v>
      </c>
    </row>
    <row r="278" spans="1:3">
      <c r="A278" t="s">
        <v>89</v>
      </c>
      <c r="B278" t="s">
        <v>32</v>
      </c>
      <c r="C278">
        <v>0</v>
      </c>
    </row>
    <row r="279" spans="1:3">
      <c r="A279" t="s">
        <v>137</v>
      </c>
      <c r="B279" t="s">
        <v>32</v>
      </c>
      <c r="C279">
        <v>0</v>
      </c>
    </row>
    <row r="280" spans="1:3">
      <c r="A280" t="s">
        <v>137</v>
      </c>
      <c r="B280" t="s">
        <v>32</v>
      </c>
      <c r="C280">
        <v>0</v>
      </c>
    </row>
    <row r="281" spans="1:3">
      <c r="A281" t="s">
        <v>74</v>
      </c>
      <c r="B281" t="s">
        <v>32</v>
      </c>
      <c r="C281">
        <v>0</v>
      </c>
    </row>
    <row r="282" spans="1:3">
      <c r="A282" t="s">
        <v>74</v>
      </c>
      <c r="B282" t="s">
        <v>32</v>
      </c>
      <c r="C282">
        <v>0</v>
      </c>
    </row>
    <row r="283" spans="1:3">
      <c r="A283" t="s">
        <v>74</v>
      </c>
      <c r="B283" t="s">
        <v>32</v>
      </c>
      <c r="C283">
        <v>0</v>
      </c>
    </row>
    <row r="284" spans="1:3">
      <c r="A284" t="s">
        <v>74</v>
      </c>
      <c r="B284" t="s">
        <v>32</v>
      </c>
      <c r="C284">
        <v>0</v>
      </c>
    </row>
    <row r="285" spans="1:3">
      <c r="A285" s="105" t="s">
        <v>74</v>
      </c>
      <c r="B285" t="s">
        <v>32</v>
      </c>
      <c r="C285">
        <v>0</v>
      </c>
    </row>
    <row r="286" spans="1:3">
      <c r="A286" t="s">
        <v>120</v>
      </c>
      <c r="B286" t="s">
        <v>32</v>
      </c>
      <c r="C286">
        <v>0</v>
      </c>
    </row>
    <row r="287" spans="1:3">
      <c r="A287" t="s">
        <v>129</v>
      </c>
      <c r="B287" t="s">
        <v>32</v>
      </c>
      <c r="C287">
        <v>0</v>
      </c>
    </row>
    <row r="288" spans="1:3">
      <c r="A288" t="s">
        <v>129</v>
      </c>
      <c r="B288" t="s">
        <v>32</v>
      </c>
      <c r="C288">
        <v>0</v>
      </c>
    </row>
    <row r="289" spans="1:3">
      <c r="A289" t="s">
        <v>129</v>
      </c>
      <c r="B289" t="s">
        <v>32</v>
      </c>
      <c r="C289">
        <v>0</v>
      </c>
    </row>
  </sheetData>
  <sortState xmlns:xlrd2="http://schemas.microsoft.com/office/spreadsheetml/2017/richdata2" ref="A2:C289">
    <sortCondition ref="B2:B289"/>
    <sortCondition descending="1" ref="C2:C28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A82D-E864-4CFF-9EAE-59688E091595}">
  <dimension ref="A1:AS289"/>
  <sheetViews>
    <sheetView tabSelected="1" topLeftCell="F1" workbookViewId="0">
      <selection activeCell="I8" sqref="I8"/>
    </sheetView>
  </sheetViews>
  <sheetFormatPr defaultRowHeight="15"/>
  <cols>
    <col min="2" max="2" width="11.42578125" bestFit="1" customWidth="1"/>
    <col min="12" max="12" width="11.42578125" bestFit="1" customWidth="1"/>
    <col min="13" max="13" width="13.28515625" customWidth="1"/>
    <col min="14" max="15" width="4.42578125" customWidth="1"/>
    <col min="16" max="16" width="2" bestFit="1" customWidth="1"/>
    <col min="17" max="17" width="1.5703125" customWidth="1"/>
    <col min="18" max="18" width="3" bestFit="1" customWidth="1"/>
    <col min="19" max="19" width="5.7109375" bestFit="1" customWidth="1"/>
    <col min="20" max="20" width="5.7109375" customWidth="1"/>
    <col min="21" max="21" width="8.42578125" bestFit="1" customWidth="1"/>
    <col min="22" max="22" width="5" customWidth="1"/>
    <col min="23" max="23" width="7.28515625" customWidth="1"/>
    <col min="24" max="24" width="6.140625" customWidth="1"/>
    <col min="25" max="25" width="4.5703125" customWidth="1"/>
    <col min="33" max="33" width="2.5703125" bestFit="1" customWidth="1"/>
    <col min="34" max="34" width="2.140625" bestFit="1" customWidth="1"/>
    <col min="35" max="35" width="2" bestFit="1" customWidth="1"/>
    <col min="36" max="36" width="3.85546875" customWidth="1"/>
    <col min="38" max="38" width="5.7109375" bestFit="1" customWidth="1"/>
    <col min="39" max="39" width="5.85546875" bestFit="1" customWidth="1"/>
    <col min="40" max="40" width="8.42578125" bestFit="1" customWidth="1"/>
  </cols>
  <sheetData>
    <row r="1" spans="1:45">
      <c r="A1" t="s">
        <v>2</v>
      </c>
      <c r="B1" t="s">
        <v>183</v>
      </c>
      <c r="C1" t="s">
        <v>66</v>
      </c>
      <c r="D1" t="s">
        <v>180</v>
      </c>
    </row>
    <row r="2" spans="1:45">
      <c r="A2" t="s">
        <v>161</v>
      </c>
      <c r="B2" t="s">
        <v>47</v>
      </c>
      <c r="C2" t="s">
        <v>30</v>
      </c>
      <c r="D2">
        <v>0</v>
      </c>
      <c r="K2" t="s">
        <v>66</v>
      </c>
      <c r="L2" t="s">
        <v>183</v>
      </c>
      <c r="M2" t="s">
        <v>2</v>
      </c>
      <c r="N2" t="s">
        <v>136</v>
      </c>
      <c r="O2" t="s">
        <v>160</v>
      </c>
      <c r="P2" t="s">
        <v>142</v>
      </c>
      <c r="R2" t="s">
        <v>121</v>
      </c>
      <c r="S2" t="s">
        <v>184</v>
      </c>
      <c r="T2" t="s">
        <v>185</v>
      </c>
      <c r="U2" t="s">
        <v>186</v>
      </c>
      <c r="V2" t="s">
        <v>187</v>
      </c>
      <c r="W2" t="s">
        <v>188</v>
      </c>
      <c r="X2" t="s">
        <v>189</v>
      </c>
      <c r="Y2" t="s">
        <v>190</v>
      </c>
      <c r="Z2" t="s">
        <v>191</v>
      </c>
      <c r="AA2" t="s">
        <v>15</v>
      </c>
      <c r="AB2" t="s">
        <v>192</v>
      </c>
    </row>
    <row r="3" spans="1:45">
      <c r="A3" t="s">
        <v>161</v>
      </c>
      <c r="B3" t="s">
        <v>47</v>
      </c>
      <c r="C3" t="s">
        <v>30</v>
      </c>
      <c r="D3">
        <v>0</v>
      </c>
      <c r="K3" t="s">
        <v>35</v>
      </c>
      <c r="L3" s="14" t="s">
        <v>172</v>
      </c>
      <c r="M3" s="14" t="s">
        <v>101</v>
      </c>
      <c r="N3" s="14">
        <v>6</v>
      </c>
      <c r="O3" s="14">
        <v>0</v>
      </c>
      <c r="P3" s="14">
        <v>0</v>
      </c>
      <c r="Q3" s="14"/>
      <c r="R3" s="14">
        <f>(N3*3)+(O3)</f>
        <v>18</v>
      </c>
      <c r="T3">
        <v>5</v>
      </c>
      <c r="U3">
        <v>3</v>
      </c>
      <c r="V3">
        <v>2</v>
      </c>
      <c r="W3">
        <v>1</v>
      </c>
      <c r="AA3">
        <v>16</v>
      </c>
    </row>
    <row r="4" spans="1:45">
      <c r="A4" t="s">
        <v>161</v>
      </c>
      <c r="B4" t="s">
        <v>47</v>
      </c>
      <c r="C4" t="s">
        <v>30</v>
      </c>
      <c r="D4">
        <v>0</v>
      </c>
      <c r="K4" t="s">
        <v>32</v>
      </c>
      <c r="L4" t="s">
        <v>193</v>
      </c>
      <c r="M4" t="s">
        <v>90</v>
      </c>
      <c r="N4">
        <v>5</v>
      </c>
      <c r="O4">
        <v>1</v>
      </c>
      <c r="P4">
        <v>0</v>
      </c>
      <c r="R4">
        <f>(N4*3)+(O4)</f>
        <v>16</v>
      </c>
      <c r="T4">
        <v>3</v>
      </c>
      <c r="U4">
        <v>4</v>
      </c>
      <c r="V4">
        <v>2</v>
      </c>
      <c r="W4">
        <v>1</v>
      </c>
      <c r="X4">
        <v>1</v>
      </c>
      <c r="AA4">
        <v>14</v>
      </c>
    </row>
    <row r="5" spans="1:45">
      <c r="A5" t="s">
        <v>161</v>
      </c>
      <c r="B5" t="s">
        <v>47</v>
      </c>
      <c r="C5" t="s">
        <v>30</v>
      </c>
      <c r="D5">
        <v>0</v>
      </c>
      <c r="K5" t="s">
        <v>32</v>
      </c>
      <c r="L5" s="14" t="s">
        <v>172</v>
      </c>
      <c r="M5" s="14" t="s">
        <v>89</v>
      </c>
      <c r="N5" s="14">
        <v>5</v>
      </c>
      <c r="O5" s="14">
        <v>0</v>
      </c>
      <c r="P5" s="14">
        <v>1</v>
      </c>
      <c r="Q5" s="14"/>
      <c r="R5" s="14">
        <f>(N5*3)+(O5)</f>
        <v>15</v>
      </c>
      <c r="T5">
        <v>4</v>
      </c>
      <c r="U5">
        <v>3</v>
      </c>
      <c r="V5">
        <v>2</v>
      </c>
      <c r="W5">
        <v>1</v>
      </c>
      <c r="AA5">
        <v>16</v>
      </c>
    </row>
    <row r="6" spans="1:45">
      <c r="A6" t="s">
        <v>161</v>
      </c>
      <c r="B6" t="s">
        <v>47</v>
      </c>
      <c r="C6" t="s">
        <v>30</v>
      </c>
      <c r="D6">
        <v>0</v>
      </c>
      <c r="K6" t="s">
        <v>194</v>
      </c>
      <c r="L6" s="14" t="s">
        <v>31</v>
      </c>
      <c r="M6" s="14" t="s">
        <v>128</v>
      </c>
      <c r="N6" s="14">
        <v>5</v>
      </c>
      <c r="O6" s="14">
        <v>0</v>
      </c>
      <c r="P6" s="14">
        <v>1</v>
      </c>
      <c r="Q6" s="14"/>
      <c r="R6" s="14">
        <f>(N6*3)+(O6)</f>
        <v>15</v>
      </c>
      <c r="T6">
        <v>5</v>
      </c>
      <c r="U6">
        <v>4</v>
      </c>
      <c r="V6">
        <v>2</v>
      </c>
      <c r="W6">
        <v>1</v>
      </c>
      <c r="Y6">
        <v>1</v>
      </c>
      <c r="AA6">
        <v>22</v>
      </c>
      <c r="AE6" t="s">
        <v>66</v>
      </c>
      <c r="AF6" t="s">
        <v>2</v>
      </c>
      <c r="AG6" t="s">
        <v>136</v>
      </c>
      <c r="AH6" t="s">
        <v>160</v>
      </c>
      <c r="AI6" t="s">
        <v>142</v>
      </c>
      <c r="AK6" t="s">
        <v>121</v>
      </c>
      <c r="AL6" t="s">
        <v>184</v>
      </c>
      <c r="AM6" t="s">
        <v>185</v>
      </c>
      <c r="AN6" t="s">
        <v>186</v>
      </c>
      <c r="AO6" t="s">
        <v>187</v>
      </c>
      <c r="AP6" t="s">
        <v>188</v>
      </c>
      <c r="AQ6" t="s">
        <v>191</v>
      </c>
      <c r="AR6" t="s">
        <v>15</v>
      </c>
      <c r="AS6" t="s">
        <v>192</v>
      </c>
    </row>
    <row r="7" spans="1:45">
      <c r="A7" t="s">
        <v>161</v>
      </c>
      <c r="B7" t="s">
        <v>47</v>
      </c>
      <c r="C7" t="s">
        <v>30</v>
      </c>
      <c r="D7">
        <v>0</v>
      </c>
      <c r="K7" t="s">
        <v>32</v>
      </c>
      <c r="L7" t="s">
        <v>32</v>
      </c>
      <c r="M7" t="s">
        <v>119</v>
      </c>
      <c r="N7">
        <v>4</v>
      </c>
      <c r="O7">
        <v>2</v>
      </c>
      <c r="P7">
        <v>0</v>
      </c>
      <c r="R7">
        <f>(N7*3)+(O7)</f>
        <v>14</v>
      </c>
      <c r="T7">
        <v>0</v>
      </c>
      <c r="U7">
        <v>4</v>
      </c>
      <c r="V7">
        <v>2</v>
      </c>
      <c r="X7">
        <v>1</v>
      </c>
      <c r="Y7">
        <v>1</v>
      </c>
      <c r="AA7">
        <v>22</v>
      </c>
      <c r="AE7" t="s">
        <v>35</v>
      </c>
      <c r="AF7" s="14" t="s">
        <v>101</v>
      </c>
      <c r="AG7" s="14">
        <v>6</v>
      </c>
      <c r="AH7" s="14">
        <v>0</v>
      </c>
      <c r="AI7" s="14">
        <v>0</v>
      </c>
      <c r="AJ7" s="14"/>
      <c r="AK7" s="14">
        <f>(AG7*3)+(AH7)</f>
        <v>18</v>
      </c>
      <c r="AL7">
        <v>0</v>
      </c>
      <c r="AM7">
        <v>5</v>
      </c>
      <c r="AN7">
        <v>3</v>
      </c>
      <c r="AO7">
        <v>2</v>
      </c>
      <c r="AP7">
        <v>1</v>
      </c>
      <c r="AR7">
        <v>16</v>
      </c>
    </row>
    <row r="8" spans="1:45">
      <c r="A8" t="s">
        <v>95</v>
      </c>
      <c r="B8" t="s">
        <v>54</v>
      </c>
      <c r="C8" t="s">
        <v>31</v>
      </c>
      <c r="D8">
        <v>0</v>
      </c>
      <c r="K8" t="s">
        <v>31</v>
      </c>
      <c r="L8" t="s">
        <v>54</v>
      </c>
      <c r="M8" t="s">
        <v>95</v>
      </c>
      <c r="N8">
        <v>4</v>
      </c>
      <c r="O8">
        <v>1</v>
      </c>
      <c r="P8">
        <v>1</v>
      </c>
      <c r="R8">
        <f>(N8*3)+(O8)</f>
        <v>13</v>
      </c>
      <c r="T8">
        <v>5</v>
      </c>
      <c r="U8">
        <v>2</v>
      </c>
      <c r="V8">
        <v>1</v>
      </c>
      <c r="W8">
        <v>1</v>
      </c>
      <c r="AA8">
        <v>15</v>
      </c>
      <c r="AB8" t="s">
        <v>195</v>
      </c>
      <c r="AE8" t="s">
        <v>32</v>
      </c>
      <c r="AF8" s="14" t="s">
        <v>89</v>
      </c>
      <c r="AG8" s="14">
        <v>5</v>
      </c>
      <c r="AH8" s="14">
        <v>0</v>
      </c>
      <c r="AI8" s="14">
        <v>1</v>
      </c>
      <c r="AJ8" s="14"/>
      <c r="AK8" s="14">
        <f>(AG8*3)+(AH8)</f>
        <v>15</v>
      </c>
      <c r="AL8">
        <v>0</v>
      </c>
      <c r="AM8">
        <v>4</v>
      </c>
      <c r="AN8">
        <v>3</v>
      </c>
      <c r="AO8">
        <v>2</v>
      </c>
      <c r="AP8">
        <v>1</v>
      </c>
      <c r="AR8">
        <v>16</v>
      </c>
      <c r="AS8" t="s">
        <v>196</v>
      </c>
    </row>
    <row r="9" spans="1:45">
      <c r="A9" t="s">
        <v>95</v>
      </c>
      <c r="B9" t="s">
        <v>54</v>
      </c>
      <c r="C9" t="s">
        <v>31</v>
      </c>
      <c r="D9">
        <v>3</v>
      </c>
      <c r="K9" t="s">
        <v>30</v>
      </c>
      <c r="L9" t="s">
        <v>197</v>
      </c>
      <c r="M9" t="s">
        <v>73</v>
      </c>
      <c r="N9">
        <v>4</v>
      </c>
      <c r="O9">
        <v>1</v>
      </c>
      <c r="P9">
        <v>1</v>
      </c>
      <c r="R9">
        <f>(N9*3)+(O9)</f>
        <v>13</v>
      </c>
      <c r="T9">
        <v>3</v>
      </c>
      <c r="U9">
        <v>4</v>
      </c>
      <c r="V9">
        <v>2</v>
      </c>
      <c r="W9">
        <v>1</v>
      </c>
      <c r="X9">
        <v>1</v>
      </c>
      <c r="AA9">
        <v>24</v>
      </c>
      <c r="AE9" t="s">
        <v>31</v>
      </c>
      <c r="AF9" t="s">
        <v>76</v>
      </c>
      <c r="AG9">
        <v>4</v>
      </c>
      <c r="AH9">
        <v>1</v>
      </c>
      <c r="AI9">
        <v>1</v>
      </c>
      <c r="AK9">
        <f>(AG9*3)+(AH9)</f>
        <v>13</v>
      </c>
      <c r="AL9">
        <v>0</v>
      </c>
      <c r="AM9">
        <v>4</v>
      </c>
      <c r="AN9">
        <v>4</v>
      </c>
      <c r="AO9">
        <v>2</v>
      </c>
      <c r="AP9">
        <v>1</v>
      </c>
      <c r="AQ9">
        <v>1</v>
      </c>
      <c r="AR9">
        <v>16</v>
      </c>
    </row>
    <row r="10" spans="1:45">
      <c r="A10" t="s">
        <v>95</v>
      </c>
      <c r="B10" t="s">
        <v>54</v>
      </c>
      <c r="C10" t="s">
        <v>31</v>
      </c>
      <c r="D10">
        <v>3</v>
      </c>
      <c r="K10" t="s">
        <v>31</v>
      </c>
      <c r="L10" s="14" t="s">
        <v>172</v>
      </c>
      <c r="M10" s="14" t="s">
        <v>76</v>
      </c>
      <c r="N10">
        <v>4</v>
      </c>
      <c r="O10">
        <v>1</v>
      </c>
      <c r="P10">
        <v>1</v>
      </c>
      <c r="R10">
        <f>(N10*3)+(O10)</f>
        <v>13</v>
      </c>
      <c r="T10">
        <v>4</v>
      </c>
      <c r="U10">
        <v>4</v>
      </c>
      <c r="V10">
        <v>2</v>
      </c>
      <c r="W10">
        <v>1</v>
      </c>
      <c r="Z10">
        <v>1</v>
      </c>
      <c r="AA10">
        <v>16</v>
      </c>
    </row>
    <row r="11" spans="1:45">
      <c r="A11" t="s">
        <v>95</v>
      </c>
      <c r="B11" t="s">
        <v>54</v>
      </c>
      <c r="C11" t="s">
        <v>31</v>
      </c>
      <c r="D11">
        <v>3</v>
      </c>
      <c r="K11" t="s">
        <v>32</v>
      </c>
      <c r="L11" s="14" t="s">
        <v>48</v>
      </c>
      <c r="M11" s="14" t="s">
        <v>104</v>
      </c>
      <c r="N11" s="14">
        <v>4</v>
      </c>
      <c r="O11" s="14">
        <v>1</v>
      </c>
      <c r="P11" s="14">
        <v>1</v>
      </c>
      <c r="Q11" s="14"/>
      <c r="R11" s="14">
        <f>(N11*3)+(O11)</f>
        <v>13</v>
      </c>
      <c r="T11">
        <v>0</v>
      </c>
      <c r="U11">
        <v>4</v>
      </c>
      <c r="V11">
        <v>2</v>
      </c>
      <c r="Y11">
        <v>1</v>
      </c>
      <c r="Z11">
        <v>1</v>
      </c>
      <c r="AA11">
        <v>19</v>
      </c>
    </row>
    <row r="12" spans="1:45">
      <c r="A12" t="s">
        <v>95</v>
      </c>
      <c r="B12" t="s">
        <v>54</v>
      </c>
      <c r="C12" t="s">
        <v>31</v>
      </c>
      <c r="D12">
        <v>3</v>
      </c>
      <c r="K12" t="s">
        <v>36</v>
      </c>
      <c r="L12" s="14" t="s">
        <v>31</v>
      </c>
      <c r="M12" s="14" t="s">
        <v>116</v>
      </c>
      <c r="N12" s="14">
        <v>4</v>
      </c>
      <c r="O12" s="14">
        <v>1</v>
      </c>
      <c r="P12" s="14">
        <v>1</v>
      </c>
      <c r="Q12" s="14"/>
      <c r="R12" s="14">
        <f>(N12*3)+(O12)</f>
        <v>13</v>
      </c>
      <c r="S12">
        <v>4</v>
      </c>
      <c r="T12">
        <v>5</v>
      </c>
      <c r="U12">
        <v>4</v>
      </c>
      <c r="V12">
        <v>2</v>
      </c>
      <c r="W12">
        <v>1</v>
      </c>
      <c r="Y12">
        <v>1</v>
      </c>
      <c r="AA12">
        <v>24</v>
      </c>
    </row>
    <row r="13" spans="1:45">
      <c r="A13" t="s">
        <v>95</v>
      </c>
      <c r="B13" t="s">
        <v>54</v>
      </c>
      <c r="C13" t="s">
        <v>31</v>
      </c>
      <c r="D13">
        <v>1</v>
      </c>
      <c r="K13" t="s">
        <v>30</v>
      </c>
      <c r="L13" t="s">
        <v>42</v>
      </c>
      <c r="M13" t="s">
        <v>135</v>
      </c>
      <c r="N13">
        <v>4</v>
      </c>
      <c r="O13">
        <v>0</v>
      </c>
      <c r="P13">
        <v>2</v>
      </c>
      <c r="R13">
        <f>(N13*3)+(O13)</f>
        <v>12</v>
      </c>
      <c r="T13">
        <v>2</v>
      </c>
      <c r="U13">
        <v>4</v>
      </c>
      <c r="V13">
        <v>2</v>
      </c>
      <c r="W13">
        <v>1</v>
      </c>
      <c r="X13">
        <v>1</v>
      </c>
      <c r="AA13">
        <v>20</v>
      </c>
    </row>
    <row r="14" spans="1:45">
      <c r="A14" t="s">
        <v>93</v>
      </c>
      <c r="B14" t="s">
        <v>41</v>
      </c>
      <c r="C14" t="s">
        <v>33</v>
      </c>
      <c r="D14">
        <v>0</v>
      </c>
      <c r="K14" t="s">
        <v>32</v>
      </c>
      <c r="L14" s="372" t="s">
        <v>168</v>
      </c>
      <c r="M14" s="372" t="s">
        <v>150</v>
      </c>
      <c r="N14" s="14">
        <v>3</v>
      </c>
      <c r="O14" s="14">
        <v>2</v>
      </c>
      <c r="P14" s="14">
        <v>1</v>
      </c>
      <c r="Q14" s="14"/>
      <c r="R14" s="14">
        <f>(N14*3)+(O14)</f>
        <v>11</v>
      </c>
      <c r="T14">
        <v>0</v>
      </c>
      <c r="U14">
        <v>3</v>
      </c>
      <c r="V14">
        <v>2</v>
      </c>
      <c r="X14">
        <v>1</v>
      </c>
      <c r="AA14">
        <v>18</v>
      </c>
    </row>
    <row r="15" spans="1:45">
      <c r="A15" t="s">
        <v>93</v>
      </c>
      <c r="B15" t="s">
        <v>41</v>
      </c>
      <c r="C15" t="s">
        <v>33</v>
      </c>
      <c r="D15">
        <v>3</v>
      </c>
      <c r="K15" t="s">
        <v>30</v>
      </c>
      <c r="L15" s="14" t="s">
        <v>48</v>
      </c>
      <c r="M15" s="14" t="s">
        <v>92</v>
      </c>
      <c r="N15" s="14">
        <v>3</v>
      </c>
      <c r="O15" s="14">
        <v>2</v>
      </c>
      <c r="P15" s="14">
        <v>1</v>
      </c>
      <c r="Q15" s="14"/>
      <c r="R15" s="14">
        <f>(N15*3)+(O15)</f>
        <v>11</v>
      </c>
      <c r="T15">
        <v>0</v>
      </c>
      <c r="U15">
        <v>2</v>
      </c>
      <c r="X15">
        <v>1</v>
      </c>
      <c r="Y15">
        <v>1</v>
      </c>
      <c r="AA15">
        <v>20</v>
      </c>
    </row>
    <row r="16" spans="1:45">
      <c r="A16" t="s">
        <v>93</v>
      </c>
      <c r="B16" t="s">
        <v>41</v>
      </c>
      <c r="C16" t="s">
        <v>33</v>
      </c>
      <c r="D16">
        <v>0</v>
      </c>
      <c r="K16" t="s">
        <v>84</v>
      </c>
      <c r="L16" t="s">
        <v>32</v>
      </c>
      <c r="M16" t="s">
        <v>143</v>
      </c>
      <c r="N16">
        <v>3</v>
      </c>
      <c r="O16">
        <v>1</v>
      </c>
      <c r="P16">
        <v>2</v>
      </c>
      <c r="R16">
        <f>(N16*3)+(O16)</f>
        <v>10</v>
      </c>
      <c r="T16">
        <v>3</v>
      </c>
      <c r="U16">
        <v>4</v>
      </c>
      <c r="V16">
        <v>2</v>
      </c>
      <c r="W16">
        <v>1</v>
      </c>
      <c r="Y16">
        <v>1</v>
      </c>
      <c r="AA16">
        <v>20</v>
      </c>
    </row>
    <row r="17" spans="1:28">
      <c r="A17" t="s">
        <v>93</v>
      </c>
      <c r="B17" t="s">
        <v>41</v>
      </c>
      <c r="C17" t="s">
        <v>33</v>
      </c>
      <c r="D17">
        <v>3</v>
      </c>
      <c r="K17" t="s">
        <v>84</v>
      </c>
      <c r="L17" t="s">
        <v>198</v>
      </c>
      <c r="M17" t="s">
        <v>132</v>
      </c>
      <c r="N17">
        <v>3</v>
      </c>
      <c r="O17">
        <v>1</v>
      </c>
      <c r="P17">
        <v>2</v>
      </c>
      <c r="R17">
        <f>(N17*3)+(O17)</f>
        <v>10</v>
      </c>
      <c r="T17">
        <v>2</v>
      </c>
      <c r="U17">
        <v>4</v>
      </c>
      <c r="V17">
        <v>2</v>
      </c>
      <c r="W17">
        <v>1</v>
      </c>
      <c r="Y17">
        <v>1</v>
      </c>
      <c r="AA17">
        <v>16</v>
      </c>
      <c r="AB17" t="s">
        <v>199</v>
      </c>
    </row>
    <row r="18" spans="1:28">
      <c r="A18" t="s">
        <v>93</v>
      </c>
      <c r="B18" t="s">
        <v>41</v>
      </c>
      <c r="C18" t="s">
        <v>33</v>
      </c>
      <c r="D18">
        <v>3</v>
      </c>
      <c r="K18" t="s">
        <v>31</v>
      </c>
      <c r="L18" t="s">
        <v>52</v>
      </c>
      <c r="M18" t="s">
        <v>134</v>
      </c>
      <c r="N18">
        <v>3</v>
      </c>
      <c r="O18">
        <v>1</v>
      </c>
      <c r="P18">
        <v>2</v>
      </c>
      <c r="R18">
        <f>(N18*3)+(O18)</f>
        <v>10</v>
      </c>
      <c r="T18">
        <v>5</v>
      </c>
      <c r="U18">
        <v>4</v>
      </c>
      <c r="V18">
        <v>2</v>
      </c>
      <c r="W18">
        <v>1</v>
      </c>
      <c r="X18">
        <v>1</v>
      </c>
      <c r="AA18">
        <v>19</v>
      </c>
    </row>
    <row r="19" spans="1:28">
      <c r="A19" t="s">
        <v>93</v>
      </c>
      <c r="B19" t="s">
        <v>41</v>
      </c>
      <c r="C19" t="s">
        <v>33</v>
      </c>
      <c r="D19">
        <v>0</v>
      </c>
      <c r="K19" t="s">
        <v>32</v>
      </c>
      <c r="L19" t="s">
        <v>49</v>
      </c>
      <c r="M19" t="s">
        <v>137</v>
      </c>
      <c r="N19">
        <v>3</v>
      </c>
      <c r="O19">
        <v>1</v>
      </c>
      <c r="P19">
        <v>2</v>
      </c>
      <c r="R19">
        <f>(N19*3)+(O19)</f>
        <v>10</v>
      </c>
      <c r="S19">
        <v>3</v>
      </c>
      <c r="T19">
        <v>0</v>
      </c>
      <c r="U19">
        <v>4</v>
      </c>
      <c r="V19">
        <v>2</v>
      </c>
      <c r="Y19">
        <v>1</v>
      </c>
      <c r="Z19">
        <v>1</v>
      </c>
      <c r="AA19">
        <v>18</v>
      </c>
      <c r="AB19" t="s">
        <v>200</v>
      </c>
    </row>
    <row r="20" spans="1:28">
      <c r="A20" t="s">
        <v>123</v>
      </c>
      <c r="C20" t="s">
        <v>31</v>
      </c>
      <c r="D20">
        <v>3</v>
      </c>
      <c r="K20" t="s">
        <v>30</v>
      </c>
      <c r="L20" t="s">
        <v>52</v>
      </c>
      <c r="M20" t="s">
        <v>146</v>
      </c>
      <c r="N20">
        <v>3</v>
      </c>
      <c r="O20">
        <v>1</v>
      </c>
      <c r="P20">
        <v>1</v>
      </c>
      <c r="R20">
        <f>(N20*3)+(O20)</f>
        <v>10</v>
      </c>
      <c r="T20">
        <v>0</v>
      </c>
      <c r="U20">
        <v>4</v>
      </c>
      <c r="V20">
        <v>2</v>
      </c>
      <c r="X20">
        <v>1</v>
      </c>
      <c r="Y20">
        <v>1</v>
      </c>
      <c r="AA20">
        <v>19</v>
      </c>
    </row>
    <row r="21" spans="1:28">
      <c r="A21" t="s">
        <v>123</v>
      </c>
      <c r="C21" t="s">
        <v>31</v>
      </c>
      <c r="D21">
        <v>0</v>
      </c>
      <c r="K21" t="s">
        <v>31</v>
      </c>
      <c r="L21" t="s">
        <v>31</v>
      </c>
      <c r="M21" t="s">
        <v>155</v>
      </c>
      <c r="N21">
        <v>3</v>
      </c>
      <c r="O21">
        <v>1</v>
      </c>
      <c r="P21">
        <v>2</v>
      </c>
      <c r="R21">
        <f>(N21*3)+(O21)</f>
        <v>10</v>
      </c>
      <c r="S21">
        <v>3</v>
      </c>
      <c r="T21">
        <v>5</v>
      </c>
      <c r="U21">
        <v>4</v>
      </c>
      <c r="V21">
        <v>2</v>
      </c>
      <c r="W21">
        <v>1</v>
      </c>
      <c r="Y21">
        <v>1</v>
      </c>
      <c r="AA21">
        <v>20</v>
      </c>
    </row>
    <row r="22" spans="1:28">
      <c r="A22" t="s">
        <v>123</v>
      </c>
      <c r="C22" t="s">
        <v>31</v>
      </c>
      <c r="D22">
        <v>0</v>
      </c>
      <c r="K22" t="s">
        <v>30</v>
      </c>
      <c r="L22" t="s">
        <v>41</v>
      </c>
      <c r="M22" t="s">
        <v>80</v>
      </c>
      <c r="N22">
        <v>3</v>
      </c>
      <c r="O22">
        <v>1</v>
      </c>
      <c r="P22">
        <v>2</v>
      </c>
      <c r="R22">
        <f>(N22*3)+(O22)</f>
        <v>10</v>
      </c>
      <c r="T22">
        <v>2</v>
      </c>
      <c r="U22">
        <v>3</v>
      </c>
      <c r="V22">
        <v>2</v>
      </c>
      <c r="W22">
        <v>1</v>
      </c>
      <c r="AA22">
        <v>17</v>
      </c>
    </row>
    <row r="23" spans="1:28">
      <c r="A23" t="s">
        <v>123</v>
      </c>
      <c r="C23" t="s">
        <v>31</v>
      </c>
      <c r="D23">
        <v>3</v>
      </c>
      <c r="K23" t="s">
        <v>33</v>
      </c>
      <c r="L23" t="s">
        <v>41</v>
      </c>
      <c r="M23" t="s">
        <v>93</v>
      </c>
      <c r="N23">
        <v>3</v>
      </c>
      <c r="O23">
        <v>0</v>
      </c>
      <c r="P23">
        <v>3</v>
      </c>
      <c r="R23">
        <f>(N23*3)+(O23)</f>
        <v>9</v>
      </c>
      <c r="T23">
        <v>0</v>
      </c>
      <c r="U23">
        <v>3</v>
      </c>
      <c r="V23">
        <v>2</v>
      </c>
      <c r="Z23">
        <v>1</v>
      </c>
      <c r="AA23">
        <v>20</v>
      </c>
    </row>
    <row r="24" spans="1:28">
      <c r="A24" t="s">
        <v>123</v>
      </c>
      <c r="C24" t="s">
        <v>31</v>
      </c>
      <c r="D24">
        <v>0</v>
      </c>
      <c r="K24" t="s">
        <v>31</v>
      </c>
      <c r="L24" t="s">
        <v>42</v>
      </c>
      <c r="M24" t="s">
        <v>123</v>
      </c>
      <c r="N24">
        <v>3</v>
      </c>
      <c r="O24">
        <v>0</v>
      </c>
      <c r="P24">
        <v>3</v>
      </c>
      <c r="R24">
        <f>(N24*3)+(O24)</f>
        <v>9</v>
      </c>
      <c r="S24">
        <v>2</v>
      </c>
      <c r="T24">
        <v>5</v>
      </c>
      <c r="U24">
        <v>4</v>
      </c>
      <c r="V24">
        <v>2</v>
      </c>
      <c r="W24">
        <v>1</v>
      </c>
      <c r="Y24">
        <v>1</v>
      </c>
      <c r="AA24">
        <v>18</v>
      </c>
      <c r="AB24" t="s">
        <v>201</v>
      </c>
    </row>
    <row r="25" spans="1:28">
      <c r="A25" t="s">
        <v>123</v>
      </c>
      <c r="C25" t="s">
        <v>31</v>
      </c>
      <c r="D25">
        <v>3</v>
      </c>
      <c r="K25" t="s">
        <v>84</v>
      </c>
      <c r="L25" t="s">
        <v>54</v>
      </c>
      <c r="M25" t="s">
        <v>107</v>
      </c>
      <c r="N25">
        <v>2</v>
      </c>
      <c r="O25">
        <v>3</v>
      </c>
      <c r="P25">
        <v>1</v>
      </c>
      <c r="R25">
        <f>(N25*3)+(O25)</f>
        <v>9</v>
      </c>
      <c r="T25">
        <v>0</v>
      </c>
      <c r="U25">
        <v>3</v>
      </c>
      <c r="V25">
        <v>3</v>
      </c>
      <c r="AA25">
        <v>20</v>
      </c>
      <c r="AB25" t="s">
        <v>202</v>
      </c>
    </row>
    <row r="26" spans="1:28">
      <c r="A26" t="s">
        <v>96</v>
      </c>
      <c r="B26" t="s">
        <v>47</v>
      </c>
      <c r="C26" t="s">
        <v>31</v>
      </c>
      <c r="D26">
        <v>0</v>
      </c>
      <c r="K26" t="s">
        <v>32</v>
      </c>
      <c r="L26" t="s">
        <v>198</v>
      </c>
      <c r="M26" t="s">
        <v>120</v>
      </c>
      <c r="N26">
        <v>2</v>
      </c>
      <c r="O26">
        <v>3</v>
      </c>
      <c r="P26">
        <v>1</v>
      </c>
      <c r="R26">
        <f>(N26*3)+(O26)</f>
        <v>9</v>
      </c>
      <c r="T26">
        <v>0</v>
      </c>
      <c r="U26">
        <v>4</v>
      </c>
      <c r="V26">
        <v>2</v>
      </c>
      <c r="X26">
        <v>1</v>
      </c>
      <c r="Y26">
        <v>1</v>
      </c>
      <c r="AA26">
        <v>21</v>
      </c>
    </row>
    <row r="27" spans="1:28">
      <c r="A27" t="s">
        <v>96</v>
      </c>
      <c r="B27" t="s">
        <v>47</v>
      </c>
      <c r="C27" t="s">
        <v>31</v>
      </c>
      <c r="D27">
        <v>3</v>
      </c>
      <c r="K27" t="s">
        <v>31</v>
      </c>
      <c r="L27" t="s">
        <v>193</v>
      </c>
      <c r="M27" t="s">
        <v>102</v>
      </c>
      <c r="N27">
        <v>2</v>
      </c>
      <c r="O27">
        <v>2</v>
      </c>
      <c r="P27">
        <v>2</v>
      </c>
      <c r="R27">
        <f>(N27*3)+(O27)</f>
        <v>8</v>
      </c>
      <c r="S27">
        <v>1</v>
      </c>
      <c r="T27">
        <v>2</v>
      </c>
      <c r="U27">
        <v>4</v>
      </c>
      <c r="V27">
        <v>2</v>
      </c>
      <c r="W27">
        <v>1</v>
      </c>
      <c r="Y27">
        <v>1</v>
      </c>
      <c r="AA27">
        <v>16</v>
      </c>
      <c r="AB27" t="s">
        <v>203</v>
      </c>
    </row>
    <row r="28" spans="1:28">
      <c r="A28" t="s">
        <v>96</v>
      </c>
      <c r="B28" t="s">
        <v>47</v>
      </c>
      <c r="C28" t="s">
        <v>31</v>
      </c>
      <c r="D28">
        <v>0</v>
      </c>
      <c r="K28" t="s">
        <v>30</v>
      </c>
      <c r="L28" t="s">
        <v>193</v>
      </c>
      <c r="M28" t="s">
        <v>77</v>
      </c>
      <c r="N28">
        <v>2</v>
      </c>
      <c r="O28">
        <v>1</v>
      </c>
      <c r="P28">
        <v>3</v>
      </c>
      <c r="R28">
        <f>(N28*3)+(O28)</f>
        <v>7</v>
      </c>
      <c r="S28">
        <v>1</v>
      </c>
      <c r="T28">
        <v>4</v>
      </c>
      <c r="U28">
        <v>4</v>
      </c>
      <c r="V28">
        <v>2</v>
      </c>
      <c r="W28">
        <v>1</v>
      </c>
      <c r="Y28">
        <v>1</v>
      </c>
      <c r="AA28">
        <v>17</v>
      </c>
    </row>
    <row r="29" spans="1:28">
      <c r="A29" t="s">
        <v>96</v>
      </c>
      <c r="B29" t="s">
        <v>47</v>
      </c>
      <c r="C29" t="s">
        <v>31</v>
      </c>
      <c r="D29">
        <v>0</v>
      </c>
      <c r="K29" t="s">
        <v>194</v>
      </c>
      <c r="L29" t="s">
        <v>38</v>
      </c>
      <c r="M29" t="s">
        <v>99</v>
      </c>
      <c r="N29">
        <v>2</v>
      </c>
      <c r="O29">
        <v>1</v>
      </c>
      <c r="P29">
        <v>3</v>
      </c>
      <c r="R29">
        <f>(N29*3)+(O29)</f>
        <v>7</v>
      </c>
      <c r="T29">
        <v>3</v>
      </c>
      <c r="U29">
        <v>3</v>
      </c>
      <c r="V29">
        <v>2</v>
      </c>
      <c r="W29">
        <v>1</v>
      </c>
      <c r="AA29">
        <v>20</v>
      </c>
    </row>
    <row r="30" spans="1:28">
      <c r="A30" t="s">
        <v>96</v>
      </c>
      <c r="B30" t="s">
        <v>47</v>
      </c>
      <c r="C30" t="s">
        <v>31</v>
      </c>
      <c r="D30">
        <v>0</v>
      </c>
      <c r="K30" t="s">
        <v>31</v>
      </c>
      <c r="L30" t="s">
        <v>32</v>
      </c>
      <c r="M30" t="s">
        <v>131</v>
      </c>
      <c r="N30">
        <v>2</v>
      </c>
      <c r="O30">
        <v>1</v>
      </c>
      <c r="P30">
        <v>3</v>
      </c>
      <c r="R30">
        <f>(N30*3)+(O30)</f>
        <v>7</v>
      </c>
      <c r="T30">
        <v>5</v>
      </c>
      <c r="U30">
        <v>2</v>
      </c>
      <c r="V30">
        <v>1</v>
      </c>
      <c r="W30">
        <v>1</v>
      </c>
      <c r="AA30">
        <v>16</v>
      </c>
    </row>
    <row r="31" spans="1:28">
      <c r="A31" t="s">
        <v>96</v>
      </c>
      <c r="B31" t="s">
        <v>47</v>
      </c>
      <c r="C31" t="s">
        <v>31</v>
      </c>
      <c r="D31">
        <v>0</v>
      </c>
      <c r="K31" t="s">
        <v>84</v>
      </c>
      <c r="L31" t="s">
        <v>43</v>
      </c>
      <c r="M31" t="s">
        <v>98</v>
      </c>
      <c r="N31">
        <v>2</v>
      </c>
      <c r="O31">
        <v>1</v>
      </c>
      <c r="P31">
        <v>3</v>
      </c>
      <c r="R31">
        <f>(N31*3)+(O31)</f>
        <v>7</v>
      </c>
      <c r="T31">
        <v>1</v>
      </c>
      <c r="U31">
        <v>4</v>
      </c>
      <c r="V31">
        <v>2</v>
      </c>
      <c r="W31">
        <v>1</v>
      </c>
      <c r="Z31">
        <v>1</v>
      </c>
      <c r="AA31">
        <v>20</v>
      </c>
    </row>
    <row r="32" spans="1:28">
      <c r="A32" t="s">
        <v>101</v>
      </c>
      <c r="B32" t="s">
        <v>172</v>
      </c>
      <c r="C32" t="s">
        <v>35</v>
      </c>
      <c r="D32">
        <v>3</v>
      </c>
      <c r="K32" t="s">
        <v>84</v>
      </c>
      <c r="L32" t="s">
        <v>52</v>
      </c>
      <c r="M32" t="s">
        <v>122</v>
      </c>
      <c r="N32">
        <v>2</v>
      </c>
      <c r="O32">
        <v>1</v>
      </c>
      <c r="P32">
        <v>3</v>
      </c>
      <c r="R32">
        <f>(N32*3)+(O32)</f>
        <v>7</v>
      </c>
      <c r="T32">
        <v>3</v>
      </c>
      <c r="U32">
        <v>4</v>
      </c>
      <c r="V32">
        <v>2</v>
      </c>
      <c r="W32">
        <v>1</v>
      </c>
      <c r="Y32">
        <v>1</v>
      </c>
      <c r="AA32">
        <v>17</v>
      </c>
    </row>
    <row r="33" spans="1:34">
      <c r="A33" t="s">
        <v>101</v>
      </c>
      <c r="B33" t="s">
        <v>172</v>
      </c>
      <c r="C33" t="s">
        <v>35</v>
      </c>
      <c r="D33">
        <v>3</v>
      </c>
      <c r="K33" t="s">
        <v>30</v>
      </c>
      <c r="L33" t="s">
        <v>168</v>
      </c>
      <c r="M33" t="s">
        <v>126</v>
      </c>
      <c r="N33">
        <v>2</v>
      </c>
      <c r="O33">
        <v>1</v>
      </c>
      <c r="P33">
        <v>3</v>
      </c>
      <c r="R33" s="14">
        <f>(N33*3)+(O33)</f>
        <v>7</v>
      </c>
      <c r="T33">
        <v>3</v>
      </c>
      <c r="U33">
        <v>4</v>
      </c>
      <c r="V33">
        <v>2</v>
      </c>
      <c r="W33">
        <v>1</v>
      </c>
      <c r="X33">
        <v>1</v>
      </c>
      <c r="AA33">
        <v>21</v>
      </c>
      <c r="AF33" s="105"/>
      <c r="AG33" s="105"/>
      <c r="AH33" s="105"/>
    </row>
    <row r="34" spans="1:34">
      <c r="A34" t="s">
        <v>101</v>
      </c>
      <c r="B34" t="s">
        <v>172</v>
      </c>
      <c r="C34" t="s">
        <v>35</v>
      </c>
      <c r="D34">
        <v>3</v>
      </c>
      <c r="K34" t="s">
        <v>32</v>
      </c>
      <c r="L34" t="s">
        <v>204</v>
      </c>
      <c r="M34" t="s">
        <v>129</v>
      </c>
      <c r="N34">
        <v>2</v>
      </c>
      <c r="O34">
        <v>1</v>
      </c>
      <c r="P34">
        <v>3</v>
      </c>
      <c r="R34">
        <f>(N34*3)+(O34)</f>
        <v>7</v>
      </c>
      <c r="S34">
        <v>1</v>
      </c>
      <c r="T34">
        <v>0</v>
      </c>
      <c r="U34">
        <v>3</v>
      </c>
      <c r="V34">
        <v>2</v>
      </c>
      <c r="Y34">
        <v>1</v>
      </c>
      <c r="AA34">
        <v>22</v>
      </c>
      <c r="AB34" t="s">
        <v>205</v>
      </c>
    </row>
    <row r="35" spans="1:34">
      <c r="A35" t="s">
        <v>101</v>
      </c>
      <c r="B35" t="s">
        <v>172</v>
      </c>
      <c r="C35" t="s">
        <v>35</v>
      </c>
      <c r="D35">
        <v>3</v>
      </c>
      <c r="K35" t="s">
        <v>31</v>
      </c>
      <c r="L35" t="s">
        <v>48</v>
      </c>
      <c r="M35" t="s">
        <v>79</v>
      </c>
      <c r="N35">
        <v>2</v>
      </c>
      <c r="O35">
        <v>1</v>
      </c>
      <c r="P35">
        <v>3</v>
      </c>
      <c r="R35">
        <f>(N35*3)+(O35)</f>
        <v>7</v>
      </c>
      <c r="S35">
        <v>1</v>
      </c>
      <c r="T35">
        <v>2</v>
      </c>
      <c r="U35">
        <v>4</v>
      </c>
      <c r="V35">
        <v>2</v>
      </c>
      <c r="W35">
        <v>1</v>
      </c>
      <c r="Y35">
        <v>1</v>
      </c>
      <c r="AA35">
        <v>20</v>
      </c>
      <c r="AB35" t="s">
        <v>206</v>
      </c>
    </row>
    <row r="36" spans="1:34">
      <c r="A36" t="s">
        <v>101</v>
      </c>
      <c r="B36" t="s">
        <v>172</v>
      </c>
      <c r="C36" t="s">
        <v>35</v>
      </c>
      <c r="D36">
        <v>3</v>
      </c>
      <c r="K36" t="s">
        <v>30</v>
      </c>
      <c r="L36" t="s">
        <v>54</v>
      </c>
      <c r="M36" t="s">
        <v>82</v>
      </c>
      <c r="N36">
        <v>2</v>
      </c>
      <c r="O36">
        <v>1</v>
      </c>
      <c r="P36">
        <v>3</v>
      </c>
      <c r="R36">
        <f>(N36*3)+(O36)</f>
        <v>7</v>
      </c>
      <c r="T36">
        <v>0</v>
      </c>
      <c r="U36">
        <v>3</v>
      </c>
      <c r="V36">
        <v>2</v>
      </c>
      <c r="X36">
        <v>1</v>
      </c>
      <c r="AA36">
        <v>20</v>
      </c>
      <c r="AB36" t="s">
        <v>196</v>
      </c>
    </row>
    <row r="37" spans="1:34">
      <c r="A37" t="s">
        <v>101</v>
      </c>
      <c r="B37" t="s">
        <v>172</v>
      </c>
      <c r="C37" t="s">
        <v>35</v>
      </c>
      <c r="D37">
        <v>3</v>
      </c>
      <c r="K37" t="s">
        <v>30</v>
      </c>
      <c r="L37" t="s">
        <v>38</v>
      </c>
      <c r="M37" t="s">
        <v>87</v>
      </c>
      <c r="N37">
        <v>2</v>
      </c>
      <c r="O37">
        <v>0</v>
      </c>
      <c r="P37">
        <v>4</v>
      </c>
      <c r="R37">
        <f>(N37*3)+(O37)</f>
        <v>6</v>
      </c>
      <c r="T37">
        <v>3</v>
      </c>
      <c r="U37">
        <v>4</v>
      </c>
      <c r="V37">
        <v>2</v>
      </c>
      <c r="W37">
        <v>1</v>
      </c>
      <c r="Y37">
        <v>1</v>
      </c>
      <c r="AA37">
        <v>18</v>
      </c>
    </row>
    <row r="38" spans="1:34">
      <c r="A38" t="s">
        <v>87</v>
      </c>
      <c r="B38" t="s">
        <v>38</v>
      </c>
      <c r="C38" t="s">
        <v>30</v>
      </c>
      <c r="D38">
        <v>0</v>
      </c>
      <c r="K38" t="s">
        <v>30</v>
      </c>
      <c r="L38" t="s">
        <v>49</v>
      </c>
      <c r="M38" t="s">
        <v>125</v>
      </c>
      <c r="N38">
        <v>2</v>
      </c>
      <c r="O38">
        <v>0</v>
      </c>
      <c r="P38">
        <v>4</v>
      </c>
      <c r="R38">
        <f>(N38*3)+(O38)</f>
        <v>6</v>
      </c>
      <c r="S38">
        <v>1</v>
      </c>
      <c r="T38">
        <v>3</v>
      </c>
      <c r="U38">
        <v>4</v>
      </c>
      <c r="V38">
        <v>2</v>
      </c>
      <c r="W38">
        <v>1</v>
      </c>
      <c r="Y38">
        <v>1</v>
      </c>
      <c r="AA38">
        <v>18</v>
      </c>
    </row>
    <row r="39" spans="1:34">
      <c r="A39" t="s">
        <v>87</v>
      </c>
      <c r="B39" t="s">
        <v>38</v>
      </c>
      <c r="C39" t="s">
        <v>30</v>
      </c>
      <c r="D39">
        <v>3</v>
      </c>
      <c r="K39" t="s">
        <v>31</v>
      </c>
      <c r="L39" t="s">
        <v>49</v>
      </c>
      <c r="M39" t="s">
        <v>149</v>
      </c>
      <c r="N39">
        <v>1</v>
      </c>
      <c r="O39">
        <v>3</v>
      </c>
      <c r="P39">
        <v>2</v>
      </c>
      <c r="R39">
        <f>(N39*3)+(O39)</f>
        <v>6</v>
      </c>
      <c r="S39">
        <v>1</v>
      </c>
      <c r="T39">
        <v>3</v>
      </c>
      <c r="U39">
        <v>3</v>
      </c>
      <c r="V39">
        <v>2</v>
      </c>
      <c r="W39">
        <v>1</v>
      </c>
      <c r="AA39">
        <v>13</v>
      </c>
    </row>
    <row r="40" spans="1:34">
      <c r="A40" t="s">
        <v>87</v>
      </c>
      <c r="B40" t="s">
        <v>38</v>
      </c>
      <c r="C40" t="s">
        <v>30</v>
      </c>
      <c r="D40">
        <v>0</v>
      </c>
      <c r="K40" t="s">
        <v>84</v>
      </c>
      <c r="L40" t="s">
        <v>47</v>
      </c>
      <c r="M40" t="s">
        <v>83</v>
      </c>
      <c r="N40">
        <v>1</v>
      </c>
      <c r="O40">
        <v>2</v>
      </c>
      <c r="P40">
        <v>3</v>
      </c>
      <c r="R40">
        <f>(N40*3)+(O40)</f>
        <v>5</v>
      </c>
      <c r="T40">
        <v>2</v>
      </c>
      <c r="U40">
        <v>4</v>
      </c>
      <c r="V40">
        <v>2</v>
      </c>
      <c r="W40">
        <v>1</v>
      </c>
      <c r="Y40">
        <v>1</v>
      </c>
      <c r="AA40">
        <v>16</v>
      </c>
    </row>
    <row r="41" spans="1:34">
      <c r="A41" t="s">
        <v>87</v>
      </c>
      <c r="B41" t="s">
        <v>38</v>
      </c>
      <c r="C41" t="s">
        <v>30</v>
      </c>
      <c r="D41">
        <v>0</v>
      </c>
      <c r="K41" t="s">
        <v>36</v>
      </c>
      <c r="L41" t="s">
        <v>43</v>
      </c>
      <c r="M41" t="s">
        <v>86</v>
      </c>
      <c r="N41">
        <v>1</v>
      </c>
      <c r="O41">
        <v>2</v>
      </c>
      <c r="P41">
        <v>3</v>
      </c>
      <c r="R41">
        <f>(N41*3)+(O41)</f>
        <v>5</v>
      </c>
      <c r="T41">
        <v>5</v>
      </c>
      <c r="U41">
        <v>4</v>
      </c>
      <c r="V41">
        <v>3</v>
      </c>
      <c r="W41">
        <v>1</v>
      </c>
      <c r="AA41">
        <v>24</v>
      </c>
    </row>
    <row r="42" spans="1:34">
      <c r="A42" t="s">
        <v>87</v>
      </c>
      <c r="B42" t="s">
        <v>38</v>
      </c>
      <c r="C42" t="s">
        <v>30</v>
      </c>
      <c r="D42">
        <v>0</v>
      </c>
      <c r="K42" t="s">
        <v>33</v>
      </c>
      <c r="L42" t="s">
        <v>168</v>
      </c>
      <c r="M42" t="s">
        <v>138</v>
      </c>
      <c r="N42">
        <v>1</v>
      </c>
      <c r="O42">
        <v>1</v>
      </c>
      <c r="P42">
        <v>4</v>
      </c>
      <c r="R42">
        <f>(N42*3)+(O42)</f>
        <v>4</v>
      </c>
      <c r="T42">
        <v>2</v>
      </c>
      <c r="U42">
        <v>4</v>
      </c>
      <c r="V42">
        <v>2</v>
      </c>
      <c r="W42">
        <v>1</v>
      </c>
      <c r="X42">
        <v>1</v>
      </c>
      <c r="AA42">
        <v>21</v>
      </c>
    </row>
    <row r="43" spans="1:34">
      <c r="A43" t="s">
        <v>87</v>
      </c>
      <c r="B43" t="s">
        <v>38</v>
      </c>
      <c r="C43" t="s">
        <v>30</v>
      </c>
      <c r="D43">
        <v>3</v>
      </c>
      <c r="K43" t="s">
        <v>32</v>
      </c>
      <c r="L43" t="s">
        <v>42</v>
      </c>
      <c r="M43" t="s">
        <v>147</v>
      </c>
      <c r="N43">
        <v>1</v>
      </c>
      <c r="O43">
        <v>1</v>
      </c>
      <c r="P43">
        <v>4</v>
      </c>
      <c r="R43">
        <f>(N43*3)+(O43)</f>
        <v>4</v>
      </c>
      <c r="T43">
        <v>0</v>
      </c>
      <c r="U43">
        <v>2</v>
      </c>
      <c r="V43">
        <v>2</v>
      </c>
      <c r="AA43">
        <v>24</v>
      </c>
    </row>
    <row r="44" spans="1:34">
      <c r="A44" t="s">
        <v>138</v>
      </c>
      <c r="C44" t="s">
        <v>33</v>
      </c>
      <c r="D44">
        <v>0</v>
      </c>
      <c r="K44" t="s">
        <v>84</v>
      </c>
      <c r="L44" t="s">
        <v>204</v>
      </c>
      <c r="M44" t="s">
        <v>117</v>
      </c>
      <c r="N44">
        <v>1</v>
      </c>
      <c r="O44">
        <v>1</v>
      </c>
      <c r="P44">
        <v>4</v>
      </c>
      <c r="R44">
        <f>(N44*3)+(O44)</f>
        <v>4</v>
      </c>
      <c r="T44">
        <v>0</v>
      </c>
      <c r="U44">
        <v>4</v>
      </c>
      <c r="V44">
        <v>2</v>
      </c>
      <c r="X44">
        <v>1</v>
      </c>
      <c r="Y44">
        <v>1</v>
      </c>
      <c r="AA44">
        <v>18</v>
      </c>
    </row>
    <row r="45" spans="1:34">
      <c r="A45" t="s">
        <v>138</v>
      </c>
      <c r="C45" t="s">
        <v>33</v>
      </c>
      <c r="D45">
        <v>0</v>
      </c>
      <c r="K45" t="s">
        <v>31</v>
      </c>
      <c r="L45" t="s">
        <v>47</v>
      </c>
      <c r="M45" t="s">
        <v>96</v>
      </c>
      <c r="N45">
        <v>1</v>
      </c>
      <c r="O45">
        <v>0</v>
      </c>
      <c r="P45">
        <v>5</v>
      </c>
      <c r="R45">
        <f>(N45*3)+(O45)</f>
        <v>3</v>
      </c>
      <c r="T45">
        <v>2</v>
      </c>
      <c r="U45">
        <v>3</v>
      </c>
      <c r="V45">
        <v>2</v>
      </c>
      <c r="W45">
        <v>1</v>
      </c>
      <c r="AA45">
        <v>13</v>
      </c>
    </row>
    <row r="46" spans="1:34">
      <c r="A46" t="s">
        <v>138</v>
      </c>
      <c r="C46" t="s">
        <v>33</v>
      </c>
      <c r="D46">
        <v>0</v>
      </c>
      <c r="K46" t="s">
        <v>32</v>
      </c>
      <c r="L46" t="s">
        <v>38</v>
      </c>
      <c r="M46" t="s">
        <v>74</v>
      </c>
      <c r="N46">
        <v>1</v>
      </c>
      <c r="O46">
        <v>0</v>
      </c>
      <c r="P46">
        <v>5</v>
      </c>
      <c r="R46">
        <f>(N46*3)+(O46)</f>
        <v>3</v>
      </c>
      <c r="T46">
        <v>2</v>
      </c>
      <c r="U46">
        <v>4</v>
      </c>
      <c r="V46">
        <v>2</v>
      </c>
      <c r="W46">
        <v>1</v>
      </c>
      <c r="Y46">
        <v>1</v>
      </c>
      <c r="AA46">
        <v>16</v>
      </c>
    </row>
    <row r="47" spans="1:34">
      <c r="A47" t="s">
        <v>138</v>
      </c>
      <c r="C47" t="s">
        <v>33</v>
      </c>
      <c r="D47">
        <v>1</v>
      </c>
      <c r="K47" t="s">
        <v>33</v>
      </c>
      <c r="L47" t="s">
        <v>198</v>
      </c>
      <c r="M47" t="s">
        <v>207</v>
      </c>
      <c r="N47">
        <v>1</v>
      </c>
      <c r="O47">
        <v>0</v>
      </c>
      <c r="P47">
        <v>5</v>
      </c>
      <c r="R47">
        <f>(N47*3)+(O47)</f>
        <v>3</v>
      </c>
      <c r="T47">
        <v>0</v>
      </c>
      <c r="U47">
        <v>4</v>
      </c>
      <c r="V47">
        <v>2</v>
      </c>
      <c r="X47">
        <v>1</v>
      </c>
      <c r="Y47">
        <v>1</v>
      </c>
      <c r="AA47">
        <v>22</v>
      </c>
    </row>
    <row r="48" spans="1:34">
      <c r="A48" t="s">
        <v>138</v>
      </c>
      <c r="C48" t="s">
        <v>33</v>
      </c>
      <c r="D48">
        <v>0</v>
      </c>
      <c r="K48" t="s">
        <v>31</v>
      </c>
      <c r="L48" t="s">
        <v>41</v>
      </c>
      <c r="M48" t="s">
        <v>105</v>
      </c>
      <c r="N48">
        <v>0</v>
      </c>
      <c r="O48">
        <v>3</v>
      </c>
      <c r="P48">
        <v>3</v>
      </c>
      <c r="R48">
        <f>(N48*3)+(O48)</f>
        <v>3</v>
      </c>
      <c r="T48">
        <v>0</v>
      </c>
      <c r="U48">
        <v>3</v>
      </c>
      <c r="V48">
        <v>2</v>
      </c>
      <c r="Y48">
        <v>1</v>
      </c>
      <c r="AA48">
        <v>20</v>
      </c>
    </row>
    <row r="49" spans="1:27">
      <c r="A49" t="s">
        <v>138</v>
      </c>
      <c r="C49" t="s">
        <v>33</v>
      </c>
      <c r="D49">
        <v>3</v>
      </c>
      <c r="K49" t="s">
        <v>31</v>
      </c>
      <c r="L49" t="s">
        <v>204</v>
      </c>
      <c r="M49" t="s">
        <v>141</v>
      </c>
      <c r="N49">
        <v>1</v>
      </c>
      <c r="O49">
        <v>0</v>
      </c>
      <c r="P49">
        <v>5</v>
      </c>
      <c r="R49">
        <f>(N49*3)+(O49)</f>
        <v>3</v>
      </c>
      <c r="T49">
        <v>0</v>
      </c>
      <c r="U49">
        <v>4</v>
      </c>
      <c r="V49">
        <v>2</v>
      </c>
      <c r="X49">
        <v>1</v>
      </c>
      <c r="Y49">
        <v>1</v>
      </c>
      <c r="AA49">
        <v>22</v>
      </c>
    </row>
    <row r="50" spans="1:27">
      <c r="A50" t="s">
        <v>73</v>
      </c>
      <c r="B50" t="s">
        <v>43</v>
      </c>
      <c r="C50" t="s">
        <v>30</v>
      </c>
      <c r="D50">
        <v>3</v>
      </c>
      <c r="K50" t="s">
        <v>30</v>
      </c>
      <c r="L50" t="s">
        <v>47</v>
      </c>
      <c r="M50" t="s">
        <v>161</v>
      </c>
      <c r="N50">
        <v>0</v>
      </c>
      <c r="O50">
        <v>0</v>
      </c>
      <c r="P50">
        <v>6</v>
      </c>
      <c r="R50">
        <f>(N50*3)+(O50)</f>
        <v>0</v>
      </c>
      <c r="T50">
        <v>3</v>
      </c>
      <c r="U50">
        <v>4</v>
      </c>
      <c r="V50">
        <v>2</v>
      </c>
      <c r="W50">
        <v>1</v>
      </c>
      <c r="Y50">
        <v>1</v>
      </c>
      <c r="AA50">
        <v>15</v>
      </c>
    </row>
    <row r="51" spans="1:27">
      <c r="A51" t="s">
        <v>73</v>
      </c>
      <c r="B51" t="s">
        <v>43</v>
      </c>
      <c r="C51" t="s">
        <v>30</v>
      </c>
      <c r="D51">
        <v>3</v>
      </c>
    </row>
    <row r="52" spans="1:27">
      <c r="A52" t="s">
        <v>73</v>
      </c>
      <c r="B52" t="s">
        <v>43</v>
      </c>
      <c r="C52" t="s">
        <v>30</v>
      </c>
      <c r="D52">
        <v>1</v>
      </c>
    </row>
    <row r="53" spans="1:27">
      <c r="A53" t="s">
        <v>73</v>
      </c>
      <c r="B53" t="s">
        <v>43</v>
      </c>
      <c r="C53" t="s">
        <v>30</v>
      </c>
      <c r="D53">
        <v>0</v>
      </c>
    </row>
    <row r="54" spans="1:27">
      <c r="A54" t="s">
        <v>73</v>
      </c>
      <c r="B54" t="s">
        <v>43</v>
      </c>
      <c r="C54" t="s">
        <v>30</v>
      </c>
      <c r="D54">
        <v>3</v>
      </c>
    </row>
    <row r="55" spans="1:27">
      <c r="A55" t="s">
        <v>73</v>
      </c>
      <c r="B55" t="s">
        <v>43</v>
      </c>
      <c r="C55" t="s">
        <v>30</v>
      </c>
      <c r="D55">
        <v>3</v>
      </c>
    </row>
    <row r="56" spans="1:27">
      <c r="A56" t="s">
        <v>143</v>
      </c>
      <c r="B56" t="s">
        <v>32</v>
      </c>
      <c r="C56" t="s">
        <v>84</v>
      </c>
      <c r="D56">
        <v>3</v>
      </c>
    </row>
    <row r="57" spans="1:27">
      <c r="A57" t="s">
        <v>143</v>
      </c>
      <c r="B57" t="s">
        <v>32</v>
      </c>
      <c r="C57" t="s">
        <v>84</v>
      </c>
      <c r="D57">
        <v>3</v>
      </c>
    </row>
    <row r="58" spans="1:27">
      <c r="A58" t="s">
        <v>143</v>
      </c>
      <c r="B58" t="s">
        <v>32</v>
      </c>
      <c r="C58" t="s">
        <v>84</v>
      </c>
      <c r="D58">
        <v>3</v>
      </c>
    </row>
    <row r="59" spans="1:27">
      <c r="A59" t="s">
        <v>143</v>
      </c>
      <c r="B59" t="s">
        <v>32</v>
      </c>
      <c r="C59" t="s">
        <v>84</v>
      </c>
      <c r="D59">
        <v>0</v>
      </c>
    </row>
    <row r="60" spans="1:27">
      <c r="A60" t="s">
        <v>143</v>
      </c>
      <c r="B60" t="s">
        <v>32</v>
      </c>
      <c r="C60" t="s">
        <v>84</v>
      </c>
      <c r="D60">
        <v>0</v>
      </c>
    </row>
    <row r="61" spans="1:27">
      <c r="A61" t="s">
        <v>143</v>
      </c>
      <c r="B61" t="s">
        <v>32</v>
      </c>
      <c r="C61" t="s">
        <v>84</v>
      </c>
      <c r="D61">
        <v>1</v>
      </c>
    </row>
    <row r="62" spans="1:27">
      <c r="A62" t="s">
        <v>76</v>
      </c>
      <c r="B62" t="s">
        <v>172</v>
      </c>
      <c r="C62" t="s">
        <v>31</v>
      </c>
      <c r="D62">
        <v>1</v>
      </c>
    </row>
    <row r="63" spans="1:27">
      <c r="A63" t="s">
        <v>76</v>
      </c>
      <c r="B63" t="s">
        <v>172</v>
      </c>
      <c r="C63" t="s">
        <v>31</v>
      </c>
      <c r="D63">
        <v>3</v>
      </c>
    </row>
    <row r="64" spans="1:27">
      <c r="A64" t="s">
        <v>76</v>
      </c>
      <c r="B64" t="s">
        <v>172</v>
      </c>
      <c r="C64" t="s">
        <v>31</v>
      </c>
      <c r="D64">
        <v>3</v>
      </c>
    </row>
    <row r="65" spans="1:4">
      <c r="A65" t="s">
        <v>76</v>
      </c>
      <c r="B65" t="s">
        <v>172</v>
      </c>
      <c r="C65" t="s">
        <v>31</v>
      </c>
      <c r="D65">
        <v>3</v>
      </c>
    </row>
    <row r="66" spans="1:4">
      <c r="A66" t="s">
        <v>76</v>
      </c>
      <c r="B66" t="s">
        <v>172</v>
      </c>
      <c r="C66" t="s">
        <v>31</v>
      </c>
      <c r="D66">
        <v>0</v>
      </c>
    </row>
    <row r="67" spans="1:4">
      <c r="A67" t="s">
        <v>76</v>
      </c>
      <c r="B67" t="s">
        <v>172</v>
      </c>
      <c r="C67" t="s">
        <v>31</v>
      </c>
      <c r="D67">
        <v>3</v>
      </c>
    </row>
    <row r="68" spans="1:4">
      <c r="A68" t="s">
        <v>150</v>
      </c>
      <c r="C68" t="s">
        <v>32</v>
      </c>
      <c r="D68">
        <v>3</v>
      </c>
    </row>
    <row r="69" spans="1:4">
      <c r="A69" t="s">
        <v>150</v>
      </c>
      <c r="C69" t="s">
        <v>32</v>
      </c>
      <c r="D69">
        <v>0</v>
      </c>
    </row>
    <row r="70" spans="1:4">
      <c r="A70" t="s">
        <v>150</v>
      </c>
      <c r="C70" t="s">
        <v>32</v>
      </c>
      <c r="D70">
        <v>1</v>
      </c>
    </row>
    <row r="71" spans="1:4">
      <c r="A71" t="s">
        <v>150</v>
      </c>
      <c r="C71" t="s">
        <v>32</v>
      </c>
      <c r="D71">
        <v>1</v>
      </c>
    </row>
    <row r="72" spans="1:4">
      <c r="A72" t="s">
        <v>150</v>
      </c>
      <c r="C72" t="s">
        <v>32</v>
      </c>
      <c r="D72">
        <v>3</v>
      </c>
    </row>
    <row r="73" spans="1:4">
      <c r="A73" t="s">
        <v>150</v>
      </c>
      <c r="C73" t="s">
        <v>32</v>
      </c>
      <c r="D73">
        <v>3</v>
      </c>
    </row>
    <row r="74" spans="1:4">
      <c r="A74" t="s">
        <v>92</v>
      </c>
      <c r="B74" t="s">
        <v>48</v>
      </c>
      <c r="C74" t="s">
        <v>30</v>
      </c>
      <c r="D74">
        <v>3</v>
      </c>
    </row>
    <row r="75" spans="1:4">
      <c r="A75" t="s">
        <v>92</v>
      </c>
      <c r="B75" t="s">
        <v>48</v>
      </c>
      <c r="C75" t="s">
        <v>30</v>
      </c>
      <c r="D75">
        <v>0</v>
      </c>
    </row>
    <row r="76" spans="1:4">
      <c r="A76" t="s">
        <v>92</v>
      </c>
      <c r="B76" t="s">
        <v>48</v>
      </c>
      <c r="C76" t="s">
        <v>30</v>
      </c>
      <c r="D76">
        <v>3</v>
      </c>
    </row>
    <row r="77" spans="1:4">
      <c r="A77" t="s">
        <v>92</v>
      </c>
      <c r="B77" t="s">
        <v>48</v>
      </c>
      <c r="C77" t="s">
        <v>30</v>
      </c>
      <c r="D77">
        <v>1</v>
      </c>
    </row>
    <row r="78" spans="1:4">
      <c r="A78" t="s">
        <v>92</v>
      </c>
      <c r="B78" t="s">
        <v>48</v>
      </c>
      <c r="C78" t="s">
        <v>30</v>
      </c>
      <c r="D78">
        <v>1</v>
      </c>
    </row>
    <row r="79" spans="1:4">
      <c r="A79" t="s">
        <v>92</v>
      </c>
      <c r="B79" t="s">
        <v>48</v>
      </c>
      <c r="C79" t="s">
        <v>30</v>
      </c>
      <c r="D79">
        <v>3</v>
      </c>
    </row>
    <row r="80" spans="1:4">
      <c r="A80" t="s">
        <v>119</v>
      </c>
      <c r="B80" t="s">
        <v>32</v>
      </c>
      <c r="C80" t="s">
        <v>32</v>
      </c>
      <c r="D80">
        <v>1</v>
      </c>
    </row>
    <row r="81" spans="1:4">
      <c r="A81" t="s">
        <v>119</v>
      </c>
      <c r="B81" t="s">
        <v>32</v>
      </c>
      <c r="C81" t="s">
        <v>32</v>
      </c>
      <c r="D81">
        <v>1</v>
      </c>
    </row>
    <row r="82" spans="1:4">
      <c r="A82" t="s">
        <v>119</v>
      </c>
      <c r="B82" t="s">
        <v>32</v>
      </c>
      <c r="C82" t="s">
        <v>32</v>
      </c>
      <c r="D82">
        <v>3</v>
      </c>
    </row>
    <row r="83" spans="1:4">
      <c r="A83" t="s">
        <v>119</v>
      </c>
      <c r="B83" t="s">
        <v>32</v>
      </c>
      <c r="C83" t="s">
        <v>32</v>
      </c>
      <c r="D83">
        <v>3</v>
      </c>
    </row>
    <row r="84" spans="1:4">
      <c r="A84" t="s">
        <v>119</v>
      </c>
      <c r="B84" t="s">
        <v>32</v>
      </c>
      <c r="C84" t="s">
        <v>32</v>
      </c>
      <c r="D84">
        <v>3</v>
      </c>
    </row>
    <row r="85" spans="1:4">
      <c r="A85" t="s">
        <v>119</v>
      </c>
      <c r="B85" t="s">
        <v>32</v>
      </c>
      <c r="C85" t="s">
        <v>32</v>
      </c>
      <c r="D85">
        <v>3</v>
      </c>
    </row>
    <row r="86" spans="1:4">
      <c r="A86" t="s">
        <v>147</v>
      </c>
      <c r="C86" t="s">
        <v>32</v>
      </c>
      <c r="D86">
        <v>3</v>
      </c>
    </row>
    <row r="87" spans="1:4">
      <c r="A87" t="s">
        <v>147</v>
      </c>
      <c r="C87" t="s">
        <v>32</v>
      </c>
      <c r="D87">
        <v>0</v>
      </c>
    </row>
    <row r="88" spans="1:4">
      <c r="A88" t="s">
        <v>147</v>
      </c>
      <c r="C88" t="s">
        <v>32</v>
      </c>
      <c r="D88">
        <v>0</v>
      </c>
    </row>
    <row r="89" spans="1:4">
      <c r="A89" t="s">
        <v>147</v>
      </c>
      <c r="C89" t="s">
        <v>32</v>
      </c>
      <c r="D89">
        <v>1</v>
      </c>
    </row>
    <row r="90" spans="1:4">
      <c r="A90" t="s">
        <v>147</v>
      </c>
      <c r="C90" t="s">
        <v>32</v>
      </c>
      <c r="D90">
        <v>0</v>
      </c>
    </row>
    <row r="91" spans="1:4">
      <c r="A91" t="s">
        <v>147</v>
      </c>
      <c r="C91" t="s">
        <v>32</v>
      </c>
      <c r="D91">
        <v>0</v>
      </c>
    </row>
    <row r="92" spans="1:4">
      <c r="A92" t="s">
        <v>83</v>
      </c>
      <c r="B92" t="s">
        <v>47</v>
      </c>
      <c r="C92" t="s">
        <v>84</v>
      </c>
      <c r="D92">
        <v>0</v>
      </c>
    </row>
    <row r="93" spans="1:4">
      <c r="A93" t="s">
        <v>83</v>
      </c>
      <c r="B93" t="s">
        <v>47</v>
      </c>
      <c r="C93" t="s">
        <v>84</v>
      </c>
      <c r="D93">
        <v>0</v>
      </c>
    </row>
    <row r="94" spans="1:4">
      <c r="A94" t="s">
        <v>83</v>
      </c>
      <c r="B94" t="s">
        <v>47</v>
      </c>
      <c r="C94" t="s">
        <v>84</v>
      </c>
      <c r="D94">
        <v>1</v>
      </c>
    </row>
    <row r="95" spans="1:4">
      <c r="A95" t="s">
        <v>83</v>
      </c>
      <c r="B95" t="s">
        <v>47</v>
      </c>
      <c r="C95" t="s">
        <v>84</v>
      </c>
      <c r="D95">
        <v>0</v>
      </c>
    </row>
    <row r="96" spans="1:4">
      <c r="A96" t="s">
        <v>83</v>
      </c>
      <c r="B96" t="s">
        <v>47</v>
      </c>
      <c r="C96" t="s">
        <v>84</v>
      </c>
      <c r="D96">
        <v>3</v>
      </c>
    </row>
    <row r="97" spans="1:4">
      <c r="A97" t="s">
        <v>83</v>
      </c>
      <c r="B97" t="s">
        <v>47</v>
      </c>
      <c r="C97" t="s">
        <v>84</v>
      </c>
      <c r="D97">
        <v>1</v>
      </c>
    </row>
    <row r="98" spans="1:4">
      <c r="A98" t="s">
        <v>104</v>
      </c>
      <c r="B98" t="s">
        <v>48</v>
      </c>
      <c r="C98" t="s">
        <v>32</v>
      </c>
      <c r="D98">
        <v>3</v>
      </c>
    </row>
    <row r="99" spans="1:4">
      <c r="A99" t="s">
        <v>104</v>
      </c>
      <c r="B99" t="s">
        <v>48</v>
      </c>
      <c r="C99" t="s">
        <v>32</v>
      </c>
      <c r="D99">
        <v>1</v>
      </c>
    </row>
    <row r="100" spans="1:4">
      <c r="A100" t="s">
        <v>104</v>
      </c>
      <c r="B100" t="s">
        <v>48</v>
      </c>
      <c r="C100" t="s">
        <v>32</v>
      </c>
      <c r="D100">
        <v>3</v>
      </c>
    </row>
    <row r="101" spans="1:4">
      <c r="A101" t="s">
        <v>104</v>
      </c>
      <c r="B101" t="s">
        <v>48</v>
      </c>
      <c r="C101" t="s">
        <v>32</v>
      </c>
      <c r="D101">
        <v>3</v>
      </c>
    </row>
    <row r="102" spans="1:4">
      <c r="A102" t="s">
        <v>104</v>
      </c>
      <c r="B102" t="s">
        <v>48</v>
      </c>
      <c r="C102" t="s">
        <v>32</v>
      </c>
      <c r="D102">
        <v>3</v>
      </c>
    </row>
    <row r="103" spans="1:4">
      <c r="A103" t="s">
        <v>104</v>
      </c>
      <c r="B103" t="s">
        <v>48</v>
      </c>
      <c r="C103" t="s">
        <v>32</v>
      </c>
      <c r="D103">
        <v>0</v>
      </c>
    </row>
    <row r="104" spans="1:4">
      <c r="A104" t="s">
        <v>77</v>
      </c>
      <c r="B104" t="s">
        <v>48</v>
      </c>
      <c r="C104" t="s">
        <v>30</v>
      </c>
      <c r="D104">
        <v>3</v>
      </c>
    </row>
    <row r="105" spans="1:4">
      <c r="A105" t="s">
        <v>77</v>
      </c>
      <c r="B105" t="s">
        <v>48</v>
      </c>
      <c r="C105" t="s">
        <v>30</v>
      </c>
      <c r="D105">
        <v>0</v>
      </c>
    </row>
    <row r="106" spans="1:4">
      <c r="A106" t="s">
        <v>77</v>
      </c>
      <c r="B106" t="s">
        <v>48</v>
      </c>
      <c r="C106" t="s">
        <v>30</v>
      </c>
      <c r="D106">
        <v>0</v>
      </c>
    </row>
    <row r="107" spans="1:4">
      <c r="A107" t="s">
        <v>77</v>
      </c>
      <c r="B107" t="s">
        <v>48</v>
      </c>
      <c r="C107" t="s">
        <v>30</v>
      </c>
      <c r="D107">
        <v>0</v>
      </c>
    </row>
    <row r="108" spans="1:4">
      <c r="A108" t="s">
        <v>77</v>
      </c>
      <c r="B108" t="s">
        <v>48</v>
      </c>
      <c r="C108" t="s">
        <v>30</v>
      </c>
      <c r="D108">
        <v>3</v>
      </c>
    </row>
    <row r="109" spans="1:4">
      <c r="A109" t="s">
        <v>77</v>
      </c>
      <c r="B109" t="s">
        <v>48</v>
      </c>
      <c r="C109" t="s">
        <v>30</v>
      </c>
      <c r="D109">
        <v>1</v>
      </c>
    </row>
    <row r="110" spans="1:4">
      <c r="A110" t="s">
        <v>102</v>
      </c>
      <c r="B110" t="s">
        <v>44</v>
      </c>
      <c r="C110" t="s">
        <v>31</v>
      </c>
      <c r="D110">
        <v>3</v>
      </c>
    </row>
    <row r="111" spans="1:4">
      <c r="A111" t="s">
        <v>102</v>
      </c>
      <c r="B111" t="s">
        <v>44</v>
      </c>
      <c r="C111" t="s">
        <v>31</v>
      </c>
      <c r="D111">
        <v>3</v>
      </c>
    </row>
    <row r="112" spans="1:4">
      <c r="A112" t="s">
        <v>102</v>
      </c>
      <c r="B112" t="s">
        <v>44</v>
      </c>
      <c r="C112" t="s">
        <v>31</v>
      </c>
      <c r="D112">
        <v>0</v>
      </c>
    </row>
    <row r="113" spans="1:4">
      <c r="A113" t="s">
        <v>102</v>
      </c>
      <c r="B113" t="s">
        <v>44</v>
      </c>
      <c r="C113" t="s">
        <v>31</v>
      </c>
      <c r="D113">
        <v>1</v>
      </c>
    </row>
    <row r="114" spans="1:4">
      <c r="A114" t="s">
        <v>102</v>
      </c>
      <c r="B114" t="s">
        <v>44</v>
      </c>
      <c r="C114" t="s">
        <v>31</v>
      </c>
      <c r="D114">
        <v>1</v>
      </c>
    </row>
    <row r="115" spans="1:4">
      <c r="A115" t="s">
        <v>102</v>
      </c>
      <c r="B115" t="s">
        <v>44</v>
      </c>
      <c r="C115" t="s">
        <v>31</v>
      </c>
      <c r="D115">
        <v>0</v>
      </c>
    </row>
    <row r="116" spans="1:4">
      <c r="A116" t="s">
        <v>117</v>
      </c>
      <c r="B116" t="s">
        <v>204</v>
      </c>
      <c r="C116" t="s">
        <v>84</v>
      </c>
      <c r="D116">
        <v>0</v>
      </c>
    </row>
    <row r="117" spans="1:4">
      <c r="A117" t="s">
        <v>117</v>
      </c>
      <c r="B117" t="s">
        <v>204</v>
      </c>
      <c r="C117" t="s">
        <v>84</v>
      </c>
      <c r="D117">
        <v>0</v>
      </c>
    </row>
    <row r="118" spans="1:4">
      <c r="A118" t="s">
        <v>117</v>
      </c>
      <c r="B118" t="s">
        <v>204</v>
      </c>
      <c r="C118" t="s">
        <v>84</v>
      </c>
      <c r="D118">
        <v>0</v>
      </c>
    </row>
    <row r="119" spans="1:4">
      <c r="A119" t="s">
        <v>117</v>
      </c>
      <c r="B119" t="s">
        <v>204</v>
      </c>
      <c r="C119" t="s">
        <v>84</v>
      </c>
      <c r="D119">
        <v>3</v>
      </c>
    </row>
    <row r="120" spans="1:4">
      <c r="A120" t="s">
        <v>117</v>
      </c>
      <c r="B120" t="s">
        <v>204</v>
      </c>
      <c r="C120" t="s">
        <v>84</v>
      </c>
      <c r="D120">
        <v>0</v>
      </c>
    </row>
    <row r="121" spans="1:4">
      <c r="A121" t="s">
        <v>117</v>
      </c>
      <c r="B121" t="s">
        <v>204</v>
      </c>
      <c r="C121" t="s">
        <v>84</v>
      </c>
      <c r="D121">
        <v>0</v>
      </c>
    </row>
    <row r="122" spans="1:4">
      <c r="A122" t="s">
        <v>132</v>
      </c>
      <c r="B122" t="s">
        <v>204</v>
      </c>
      <c r="C122" t="s">
        <v>84</v>
      </c>
      <c r="D122">
        <v>1</v>
      </c>
    </row>
    <row r="123" spans="1:4">
      <c r="A123" t="s">
        <v>132</v>
      </c>
      <c r="B123" t="s">
        <v>204</v>
      </c>
      <c r="C123" t="s">
        <v>84</v>
      </c>
    </row>
    <row r="124" spans="1:4">
      <c r="A124" t="s">
        <v>132</v>
      </c>
      <c r="B124" t="s">
        <v>204</v>
      </c>
      <c r="C124" t="s">
        <v>84</v>
      </c>
      <c r="D124">
        <v>0</v>
      </c>
    </row>
    <row r="125" spans="1:4">
      <c r="A125" t="s">
        <v>132</v>
      </c>
      <c r="B125" t="s">
        <v>204</v>
      </c>
      <c r="C125" t="s">
        <v>84</v>
      </c>
      <c r="D125">
        <v>3</v>
      </c>
    </row>
    <row r="126" spans="1:4">
      <c r="A126" t="s">
        <v>132</v>
      </c>
      <c r="B126" t="s">
        <v>204</v>
      </c>
      <c r="C126" t="s">
        <v>84</v>
      </c>
      <c r="D126">
        <v>3</v>
      </c>
    </row>
    <row r="127" spans="1:4">
      <c r="A127" t="s">
        <v>132</v>
      </c>
      <c r="B127" t="s">
        <v>204</v>
      </c>
      <c r="C127" t="s">
        <v>84</v>
      </c>
      <c r="D127">
        <v>3</v>
      </c>
    </row>
    <row r="128" spans="1:4">
      <c r="A128" t="s">
        <v>99</v>
      </c>
      <c r="B128" t="s">
        <v>38</v>
      </c>
      <c r="C128" t="s">
        <v>35</v>
      </c>
      <c r="D128">
        <v>0</v>
      </c>
    </row>
    <row r="129" spans="1:4">
      <c r="A129" t="s">
        <v>99</v>
      </c>
      <c r="B129" t="s">
        <v>38</v>
      </c>
      <c r="C129" t="s">
        <v>35</v>
      </c>
      <c r="D129">
        <v>3</v>
      </c>
    </row>
    <row r="130" spans="1:4">
      <c r="A130" t="s">
        <v>99</v>
      </c>
      <c r="B130" t="s">
        <v>38</v>
      </c>
      <c r="C130" t="s">
        <v>35</v>
      </c>
      <c r="D130">
        <v>0</v>
      </c>
    </row>
    <row r="131" spans="1:4">
      <c r="A131" t="s">
        <v>99</v>
      </c>
      <c r="B131" t="s">
        <v>38</v>
      </c>
      <c r="C131" t="s">
        <v>35</v>
      </c>
      <c r="D131">
        <v>1</v>
      </c>
    </row>
    <row r="132" spans="1:4">
      <c r="A132" t="s">
        <v>99</v>
      </c>
      <c r="B132" t="s">
        <v>38</v>
      </c>
      <c r="C132" t="s">
        <v>35</v>
      </c>
      <c r="D132">
        <v>0</v>
      </c>
    </row>
    <row r="133" spans="1:4">
      <c r="A133" t="s">
        <v>99</v>
      </c>
      <c r="B133" t="s">
        <v>38</v>
      </c>
      <c r="C133" t="s">
        <v>35</v>
      </c>
      <c r="D133">
        <v>3</v>
      </c>
    </row>
    <row r="134" spans="1:4">
      <c r="A134" t="s">
        <v>89</v>
      </c>
      <c r="B134" t="s">
        <v>208</v>
      </c>
      <c r="C134" t="s">
        <v>32</v>
      </c>
      <c r="D134">
        <v>3</v>
      </c>
    </row>
    <row r="135" spans="1:4">
      <c r="A135" t="s">
        <v>89</v>
      </c>
      <c r="B135" t="s">
        <v>208</v>
      </c>
      <c r="C135" t="s">
        <v>32</v>
      </c>
      <c r="D135">
        <v>3</v>
      </c>
    </row>
    <row r="136" spans="1:4">
      <c r="A136" t="s">
        <v>89</v>
      </c>
      <c r="B136" t="s">
        <v>208</v>
      </c>
      <c r="C136" t="s">
        <v>32</v>
      </c>
      <c r="D136">
        <v>0</v>
      </c>
    </row>
    <row r="137" spans="1:4">
      <c r="A137" t="s">
        <v>89</v>
      </c>
      <c r="B137" t="s">
        <v>208</v>
      </c>
      <c r="C137" t="s">
        <v>32</v>
      </c>
      <c r="D137">
        <v>3</v>
      </c>
    </row>
    <row r="138" spans="1:4">
      <c r="A138" t="s">
        <v>89</v>
      </c>
      <c r="B138" t="s">
        <v>208</v>
      </c>
      <c r="C138" t="s">
        <v>32</v>
      </c>
      <c r="D138">
        <v>3</v>
      </c>
    </row>
    <row r="139" spans="1:4">
      <c r="A139" t="s">
        <v>89</v>
      </c>
      <c r="B139" t="s">
        <v>208</v>
      </c>
      <c r="C139" t="s">
        <v>32</v>
      </c>
      <c r="D139">
        <v>3</v>
      </c>
    </row>
    <row r="140" spans="1:4">
      <c r="A140" t="s">
        <v>134</v>
      </c>
      <c r="B140" t="s">
        <v>52</v>
      </c>
      <c r="C140" t="s">
        <v>31</v>
      </c>
      <c r="D140">
        <v>0</v>
      </c>
    </row>
    <row r="141" spans="1:4">
      <c r="A141" t="s">
        <v>134</v>
      </c>
      <c r="B141" t="s">
        <v>52</v>
      </c>
      <c r="C141" t="s">
        <v>31</v>
      </c>
      <c r="D141">
        <v>3</v>
      </c>
    </row>
    <row r="142" spans="1:4">
      <c r="A142" t="s">
        <v>134</v>
      </c>
      <c r="B142" t="s">
        <v>52</v>
      </c>
      <c r="C142" t="s">
        <v>31</v>
      </c>
      <c r="D142">
        <v>1</v>
      </c>
    </row>
    <row r="143" spans="1:4">
      <c r="A143" t="s">
        <v>134</v>
      </c>
      <c r="B143" t="s">
        <v>52</v>
      </c>
      <c r="C143" t="s">
        <v>31</v>
      </c>
      <c r="D143">
        <v>0</v>
      </c>
    </row>
    <row r="144" spans="1:4">
      <c r="A144" t="s">
        <v>134</v>
      </c>
      <c r="B144" t="s">
        <v>52</v>
      </c>
      <c r="C144" t="s">
        <v>31</v>
      </c>
      <c r="D144">
        <v>3</v>
      </c>
    </row>
    <row r="145" spans="1:5">
      <c r="A145" t="s">
        <v>134</v>
      </c>
      <c r="B145" t="s">
        <v>52</v>
      </c>
      <c r="C145" t="s">
        <v>31</v>
      </c>
      <c r="D145">
        <v>3</v>
      </c>
    </row>
    <row r="146" spans="1:5">
      <c r="A146" t="s">
        <v>131</v>
      </c>
      <c r="B146" t="s">
        <v>32</v>
      </c>
      <c r="C146" t="s">
        <v>31</v>
      </c>
      <c r="D146">
        <v>3</v>
      </c>
    </row>
    <row r="147" spans="1:5">
      <c r="A147" t="s">
        <v>131</v>
      </c>
      <c r="B147" t="s">
        <v>32</v>
      </c>
      <c r="C147" t="s">
        <v>31</v>
      </c>
      <c r="D147">
        <v>0</v>
      </c>
    </row>
    <row r="148" spans="1:5">
      <c r="A148" t="s">
        <v>131</v>
      </c>
      <c r="B148" t="s">
        <v>32</v>
      </c>
      <c r="C148" t="s">
        <v>31</v>
      </c>
      <c r="D148">
        <v>0</v>
      </c>
    </row>
    <row r="149" spans="1:5">
      <c r="A149" t="s">
        <v>131</v>
      </c>
      <c r="B149" t="s">
        <v>32</v>
      </c>
      <c r="C149" t="s">
        <v>31</v>
      </c>
      <c r="D149">
        <v>3</v>
      </c>
    </row>
    <row r="150" spans="1:5">
      <c r="A150" t="s">
        <v>131</v>
      </c>
      <c r="B150" t="s">
        <v>32</v>
      </c>
      <c r="C150" t="s">
        <v>31</v>
      </c>
      <c r="D150">
        <v>0</v>
      </c>
    </row>
    <row r="151" spans="1:5">
      <c r="A151" t="s">
        <v>131</v>
      </c>
      <c r="B151" t="s">
        <v>32</v>
      </c>
      <c r="C151" t="s">
        <v>31</v>
      </c>
      <c r="D151">
        <v>1</v>
      </c>
    </row>
    <row r="152" spans="1:5">
      <c r="A152" t="s">
        <v>107</v>
      </c>
      <c r="B152" t="s">
        <v>54</v>
      </c>
      <c r="C152" t="s">
        <v>84</v>
      </c>
      <c r="D152">
        <v>3</v>
      </c>
    </row>
    <row r="153" spans="1:5">
      <c r="A153" t="s">
        <v>107</v>
      </c>
      <c r="B153" t="s">
        <v>54</v>
      </c>
      <c r="C153" t="s">
        <v>84</v>
      </c>
      <c r="D153">
        <v>0</v>
      </c>
    </row>
    <row r="154" spans="1:5">
      <c r="A154" t="s">
        <v>107</v>
      </c>
      <c r="B154" t="s">
        <v>54</v>
      </c>
      <c r="C154" t="s">
        <v>84</v>
      </c>
      <c r="D154">
        <v>3</v>
      </c>
    </row>
    <row r="155" spans="1:5">
      <c r="A155" t="s">
        <v>107</v>
      </c>
      <c r="B155" t="s">
        <v>54</v>
      </c>
      <c r="C155" t="s">
        <v>84</v>
      </c>
      <c r="D155">
        <v>1</v>
      </c>
    </row>
    <row r="156" spans="1:5">
      <c r="A156" t="s">
        <v>107</v>
      </c>
      <c r="B156" t="s">
        <v>54</v>
      </c>
      <c r="C156" t="s">
        <v>84</v>
      </c>
      <c r="D156">
        <v>1</v>
      </c>
    </row>
    <row r="157" spans="1:5">
      <c r="A157" t="s">
        <v>107</v>
      </c>
      <c r="B157" t="s">
        <v>54</v>
      </c>
      <c r="C157" t="s">
        <v>84</v>
      </c>
      <c r="D157">
        <v>1</v>
      </c>
    </row>
    <row r="158" spans="1:5">
      <c r="A158" t="s">
        <v>137</v>
      </c>
      <c r="B158" t="s">
        <v>49</v>
      </c>
      <c r="C158" t="s">
        <v>32</v>
      </c>
      <c r="D158">
        <v>0</v>
      </c>
      <c r="E158" t="s">
        <v>184</v>
      </c>
    </row>
    <row r="159" spans="1:5">
      <c r="A159" t="s">
        <v>137</v>
      </c>
      <c r="B159" t="s">
        <v>49</v>
      </c>
      <c r="C159" t="s">
        <v>32</v>
      </c>
      <c r="D159">
        <v>1</v>
      </c>
    </row>
    <row r="160" spans="1:5">
      <c r="A160" t="s">
        <v>137</v>
      </c>
      <c r="B160" t="s">
        <v>49</v>
      </c>
      <c r="C160" t="s">
        <v>32</v>
      </c>
      <c r="D160">
        <v>3</v>
      </c>
    </row>
    <row r="161" spans="1:15">
      <c r="A161" t="s">
        <v>137</v>
      </c>
      <c r="B161" t="s">
        <v>49</v>
      </c>
      <c r="C161" t="s">
        <v>32</v>
      </c>
      <c r="D161">
        <v>0</v>
      </c>
    </row>
    <row r="162" spans="1:15">
      <c r="A162" t="s">
        <v>137</v>
      </c>
      <c r="B162" t="s">
        <v>49</v>
      </c>
      <c r="C162" t="s">
        <v>32</v>
      </c>
      <c r="D162">
        <v>3</v>
      </c>
    </row>
    <row r="163" spans="1:15">
      <c r="A163" t="s">
        <v>137</v>
      </c>
      <c r="B163" t="s">
        <v>49</v>
      </c>
      <c r="C163" t="s">
        <v>32</v>
      </c>
      <c r="D163">
        <v>3</v>
      </c>
    </row>
    <row r="164" spans="1:15">
      <c r="A164" t="s">
        <v>98</v>
      </c>
      <c r="B164" t="s">
        <v>43</v>
      </c>
      <c r="C164" t="s">
        <v>84</v>
      </c>
      <c r="D164">
        <v>1</v>
      </c>
    </row>
    <row r="165" spans="1:15">
      <c r="A165" t="s">
        <v>98</v>
      </c>
      <c r="B165" t="s">
        <v>43</v>
      </c>
      <c r="C165" t="s">
        <v>84</v>
      </c>
      <c r="D165">
        <v>3</v>
      </c>
    </row>
    <row r="166" spans="1:15">
      <c r="A166" t="s">
        <v>98</v>
      </c>
      <c r="B166" t="s">
        <v>43</v>
      </c>
      <c r="C166" t="s">
        <v>84</v>
      </c>
      <c r="D166">
        <v>0</v>
      </c>
    </row>
    <row r="167" spans="1:15">
      <c r="A167" t="s">
        <v>98</v>
      </c>
      <c r="B167" t="s">
        <v>43</v>
      </c>
      <c r="C167" t="s">
        <v>84</v>
      </c>
      <c r="D167">
        <v>0</v>
      </c>
    </row>
    <row r="168" spans="1:15">
      <c r="A168" t="s">
        <v>98</v>
      </c>
      <c r="B168" t="s">
        <v>43</v>
      </c>
      <c r="C168" t="s">
        <v>84</v>
      </c>
      <c r="D168">
        <v>0</v>
      </c>
    </row>
    <row r="169" spans="1:15">
      <c r="A169" t="s">
        <v>98</v>
      </c>
      <c r="B169" t="s">
        <v>43</v>
      </c>
      <c r="C169" t="s">
        <v>84</v>
      </c>
      <c r="D169">
        <v>3</v>
      </c>
    </row>
    <row r="170" spans="1:15">
      <c r="A170" t="s">
        <v>122</v>
      </c>
      <c r="B170" t="s">
        <v>52</v>
      </c>
      <c r="C170" t="s">
        <v>84</v>
      </c>
      <c r="D170">
        <v>3</v>
      </c>
    </row>
    <row r="171" spans="1:15">
      <c r="A171" t="s">
        <v>122</v>
      </c>
      <c r="B171" t="s">
        <v>52</v>
      </c>
      <c r="C171" t="s">
        <v>84</v>
      </c>
      <c r="D171">
        <v>0</v>
      </c>
    </row>
    <row r="172" spans="1:15">
      <c r="A172" t="s">
        <v>122</v>
      </c>
      <c r="B172" t="s">
        <v>52</v>
      </c>
      <c r="C172" t="s">
        <v>84</v>
      </c>
      <c r="D172">
        <v>1</v>
      </c>
      <c r="J172">
        <v>10</v>
      </c>
      <c r="K172">
        <v>3</v>
      </c>
      <c r="L172">
        <v>5</v>
      </c>
      <c r="M172">
        <f>J172/18</f>
        <v>0.55555555555555558</v>
      </c>
      <c r="N172">
        <f>K172/18</f>
        <v>0.16666666666666666</v>
      </c>
      <c r="O172">
        <f>L172/18</f>
        <v>0.27777777777777779</v>
      </c>
    </row>
    <row r="173" spans="1:15">
      <c r="A173" t="s">
        <v>122</v>
      </c>
      <c r="B173" t="s">
        <v>52</v>
      </c>
      <c r="C173" t="s">
        <v>84</v>
      </c>
      <c r="D173">
        <v>0</v>
      </c>
    </row>
    <row r="174" spans="1:15">
      <c r="A174" t="s">
        <v>122</v>
      </c>
      <c r="B174" t="s">
        <v>52</v>
      </c>
      <c r="C174" t="s">
        <v>84</v>
      </c>
      <c r="D174">
        <v>3</v>
      </c>
    </row>
    <row r="175" spans="1:15">
      <c r="A175" t="s">
        <v>122</v>
      </c>
      <c r="B175" t="s">
        <v>52</v>
      </c>
      <c r="C175" t="s">
        <v>84</v>
      </c>
      <c r="D175">
        <v>0</v>
      </c>
    </row>
    <row r="176" spans="1:15">
      <c r="A176" t="s">
        <v>116</v>
      </c>
      <c r="B176" t="s">
        <v>31</v>
      </c>
      <c r="C176" t="s">
        <v>36</v>
      </c>
      <c r="D176">
        <v>3</v>
      </c>
      <c r="E176" t="s">
        <v>184</v>
      </c>
    </row>
    <row r="177" spans="1:4">
      <c r="A177" t="s">
        <v>116</v>
      </c>
      <c r="B177" t="s">
        <v>31</v>
      </c>
      <c r="C177" t="s">
        <v>36</v>
      </c>
      <c r="D177">
        <v>3</v>
      </c>
    </row>
    <row r="178" spans="1:4">
      <c r="A178" t="s">
        <v>116</v>
      </c>
      <c r="B178" t="s">
        <v>31</v>
      </c>
      <c r="C178" t="s">
        <v>36</v>
      </c>
      <c r="D178">
        <v>3</v>
      </c>
    </row>
    <row r="179" spans="1:4">
      <c r="A179" t="s">
        <v>116</v>
      </c>
      <c r="B179" t="s">
        <v>31</v>
      </c>
      <c r="C179" t="s">
        <v>36</v>
      </c>
      <c r="D179">
        <v>1</v>
      </c>
    </row>
    <row r="180" spans="1:4">
      <c r="A180" t="s">
        <v>116</v>
      </c>
      <c r="B180" t="s">
        <v>31</v>
      </c>
      <c r="C180" t="s">
        <v>36</v>
      </c>
      <c r="D180">
        <v>3</v>
      </c>
    </row>
    <row r="181" spans="1:4">
      <c r="A181" t="s">
        <v>116</v>
      </c>
      <c r="B181" t="s">
        <v>31</v>
      </c>
      <c r="C181" t="s">
        <v>36</v>
      </c>
      <c r="D181">
        <v>0</v>
      </c>
    </row>
    <row r="182" spans="1:4">
      <c r="A182" t="s">
        <v>146</v>
      </c>
      <c r="B182" t="s">
        <v>52</v>
      </c>
      <c r="C182" t="s">
        <v>30</v>
      </c>
      <c r="D182">
        <v>3</v>
      </c>
    </row>
    <row r="183" spans="1:4">
      <c r="A183" t="s">
        <v>146</v>
      </c>
      <c r="B183" t="s">
        <v>52</v>
      </c>
      <c r="C183" t="s">
        <v>30</v>
      </c>
      <c r="D183">
        <v>3</v>
      </c>
    </row>
    <row r="184" spans="1:4">
      <c r="A184" t="s">
        <v>146</v>
      </c>
      <c r="B184" t="s">
        <v>52</v>
      </c>
      <c r="C184" t="s">
        <v>30</v>
      </c>
      <c r="D184">
        <v>0</v>
      </c>
    </row>
    <row r="185" spans="1:4">
      <c r="A185" t="s">
        <v>146</v>
      </c>
      <c r="B185" t="s">
        <v>52</v>
      </c>
      <c r="C185" t="s">
        <v>30</v>
      </c>
      <c r="D185">
        <v>0</v>
      </c>
    </row>
    <row r="186" spans="1:4">
      <c r="A186" t="s">
        <v>146</v>
      </c>
      <c r="B186" t="s">
        <v>52</v>
      </c>
      <c r="C186" t="s">
        <v>30</v>
      </c>
      <c r="D186">
        <v>3</v>
      </c>
    </row>
    <row r="187" spans="1:4">
      <c r="A187" t="s">
        <v>146</v>
      </c>
      <c r="B187" t="s">
        <v>52</v>
      </c>
      <c r="C187" t="s">
        <v>30</v>
      </c>
      <c r="D187">
        <v>1</v>
      </c>
    </row>
    <row r="188" spans="1:4">
      <c r="A188" t="s">
        <v>74</v>
      </c>
      <c r="B188" t="s">
        <v>38</v>
      </c>
      <c r="C188" t="s">
        <v>32</v>
      </c>
      <c r="D188">
        <v>3</v>
      </c>
    </row>
    <row r="189" spans="1:4">
      <c r="A189" t="s">
        <v>74</v>
      </c>
      <c r="B189" t="s">
        <v>38</v>
      </c>
      <c r="C189" t="s">
        <v>32</v>
      </c>
      <c r="D189">
        <v>0</v>
      </c>
    </row>
    <row r="190" spans="1:4">
      <c r="A190" t="s">
        <v>74</v>
      </c>
      <c r="B190" t="s">
        <v>38</v>
      </c>
      <c r="C190" t="s">
        <v>32</v>
      </c>
      <c r="D190">
        <v>0</v>
      </c>
    </row>
    <row r="191" spans="1:4">
      <c r="A191" t="s">
        <v>74</v>
      </c>
      <c r="B191" t="s">
        <v>38</v>
      </c>
      <c r="C191" t="s">
        <v>32</v>
      </c>
      <c r="D191">
        <v>0</v>
      </c>
    </row>
    <row r="192" spans="1:4">
      <c r="A192" t="s">
        <v>74</v>
      </c>
      <c r="B192" t="s">
        <v>38</v>
      </c>
      <c r="C192" t="s">
        <v>32</v>
      </c>
      <c r="D192">
        <v>0</v>
      </c>
    </row>
    <row r="193" spans="1:5">
      <c r="A193" s="105" t="s">
        <v>74</v>
      </c>
      <c r="B193" t="s">
        <v>38</v>
      </c>
      <c r="C193" t="s">
        <v>32</v>
      </c>
      <c r="D193">
        <v>0</v>
      </c>
    </row>
    <row r="194" spans="1:5">
      <c r="A194" t="s">
        <v>155</v>
      </c>
      <c r="B194" t="s">
        <v>31</v>
      </c>
      <c r="C194" t="s">
        <v>31</v>
      </c>
      <c r="D194">
        <v>3</v>
      </c>
      <c r="E194" t="s">
        <v>184</v>
      </c>
    </row>
    <row r="195" spans="1:5">
      <c r="A195" t="s">
        <v>155</v>
      </c>
      <c r="B195" t="s">
        <v>31</v>
      </c>
      <c r="C195" t="s">
        <v>31</v>
      </c>
      <c r="D195">
        <v>3</v>
      </c>
    </row>
    <row r="196" spans="1:5">
      <c r="A196" t="s">
        <v>155</v>
      </c>
      <c r="B196" t="s">
        <v>31</v>
      </c>
      <c r="C196" t="s">
        <v>31</v>
      </c>
      <c r="D196">
        <v>3</v>
      </c>
    </row>
    <row r="197" spans="1:5">
      <c r="A197" t="s">
        <v>155</v>
      </c>
      <c r="B197" t="s">
        <v>31</v>
      </c>
      <c r="C197" t="s">
        <v>31</v>
      </c>
      <c r="D197">
        <v>1</v>
      </c>
    </row>
    <row r="198" spans="1:5">
      <c r="A198" t="s">
        <v>155</v>
      </c>
      <c r="B198" t="s">
        <v>31</v>
      </c>
      <c r="C198" t="s">
        <v>31</v>
      </c>
      <c r="D198">
        <v>0</v>
      </c>
    </row>
    <row r="199" spans="1:5">
      <c r="A199" t="s">
        <v>155</v>
      </c>
      <c r="B199" t="s">
        <v>31</v>
      </c>
      <c r="C199" t="s">
        <v>31</v>
      </c>
      <c r="D199">
        <v>0</v>
      </c>
    </row>
    <row r="200" spans="1:5">
      <c r="A200" t="s">
        <v>120</v>
      </c>
      <c r="B200" t="s">
        <v>198</v>
      </c>
      <c r="C200" t="s">
        <v>32</v>
      </c>
      <c r="D200">
        <v>1</v>
      </c>
    </row>
    <row r="201" spans="1:5">
      <c r="A201" t="s">
        <v>120</v>
      </c>
      <c r="B201" t="s">
        <v>198</v>
      </c>
      <c r="C201" t="s">
        <v>32</v>
      </c>
      <c r="D201">
        <v>1</v>
      </c>
    </row>
    <row r="202" spans="1:5">
      <c r="A202" t="s">
        <v>120</v>
      </c>
      <c r="B202" t="s">
        <v>198</v>
      </c>
      <c r="C202" t="s">
        <v>32</v>
      </c>
      <c r="D202">
        <v>0</v>
      </c>
    </row>
    <row r="203" spans="1:5">
      <c r="A203" t="s">
        <v>120</v>
      </c>
      <c r="B203" t="s">
        <v>198</v>
      </c>
      <c r="C203" t="s">
        <v>32</v>
      </c>
      <c r="D203">
        <v>1</v>
      </c>
    </row>
    <row r="204" spans="1:5">
      <c r="A204" t="s">
        <v>120</v>
      </c>
      <c r="B204" t="s">
        <v>198</v>
      </c>
      <c r="C204" t="s">
        <v>32</v>
      </c>
      <c r="D204">
        <v>3</v>
      </c>
    </row>
    <row r="205" spans="1:5">
      <c r="A205" t="s">
        <v>120</v>
      </c>
      <c r="B205" t="s">
        <v>198</v>
      </c>
      <c r="C205" t="s">
        <v>32</v>
      </c>
      <c r="D205">
        <v>3</v>
      </c>
    </row>
    <row r="206" spans="1:5">
      <c r="A206" t="s">
        <v>182</v>
      </c>
      <c r="C206" t="s">
        <v>30</v>
      </c>
      <c r="D206">
        <v>0</v>
      </c>
    </row>
    <row r="207" spans="1:5">
      <c r="A207" t="s">
        <v>182</v>
      </c>
      <c r="C207" t="s">
        <v>30</v>
      </c>
      <c r="D207">
        <v>1</v>
      </c>
    </row>
    <row r="208" spans="1:5">
      <c r="A208" t="s">
        <v>182</v>
      </c>
      <c r="C208" t="s">
        <v>30</v>
      </c>
      <c r="D208">
        <v>0</v>
      </c>
    </row>
    <row r="209" spans="1:4">
      <c r="A209" t="s">
        <v>182</v>
      </c>
      <c r="C209" t="s">
        <v>30</v>
      </c>
      <c r="D209">
        <v>3</v>
      </c>
    </row>
    <row r="210" spans="1:4">
      <c r="A210" t="s">
        <v>182</v>
      </c>
      <c r="C210" t="s">
        <v>30</v>
      </c>
      <c r="D210">
        <v>3</v>
      </c>
    </row>
    <row r="211" spans="1:4">
      <c r="A211" t="s">
        <v>182</v>
      </c>
      <c r="C211" t="s">
        <v>30</v>
      </c>
      <c r="D211">
        <v>0</v>
      </c>
    </row>
    <row r="212" spans="1:4">
      <c r="A212" t="s">
        <v>182</v>
      </c>
      <c r="C212" t="s">
        <v>30</v>
      </c>
      <c r="D212">
        <v>0</v>
      </c>
    </row>
    <row r="213" spans="1:4">
      <c r="A213" t="s">
        <v>182</v>
      </c>
      <c r="C213" t="s">
        <v>30</v>
      </c>
      <c r="D213">
        <v>3</v>
      </c>
    </row>
    <row r="214" spans="1:4">
      <c r="A214" t="s">
        <v>182</v>
      </c>
      <c r="C214" t="s">
        <v>30</v>
      </c>
      <c r="D214">
        <v>3</v>
      </c>
    </row>
    <row r="215" spans="1:4">
      <c r="A215" t="s">
        <v>182</v>
      </c>
      <c r="C215" t="s">
        <v>30</v>
      </c>
      <c r="D215">
        <v>0</v>
      </c>
    </row>
    <row r="216" spans="1:4">
      <c r="A216" t="s">
        <v>182</v>
      </c>
      <c r="C216" t="s">
        <v>30</v>
      </c>
      <c r="D216">
        <v>3</v>
      </c>
    </row>
    <row r="217" spans="1:4">
      <c r="A217" t="s">
        <v>182</v>
      </c>
      <c r="C217" t="s">
        <v>30</v>
      </c>
      <c r="D217">
        <v>3</v>
      </c>
    </row>
    <row r="218" spans="1:4">
      <c r="A218" t="s">
        <v>86</v>
      </c>
      <c r="B218" t="s">
        <v>43</v>
      </c>
      <c r="C218" t="s">
        <v>36</v>
      </c>
      <c r="D218">
        <v>3</v>
      </c>
    </row>
    <row r="219" spans="1:4">
      <c r="A219" t="s">
        <v>86</v>
      </c>
      <c r="B219" t="s">
        <v>43</v>
      </c>
      <c r="C219" t="s">
        <v>36</v>
      </c>
      <c r="D219">
        <v>0</v>
      </c>
    </row>
    <row r="220" spans="1:4">
      <c r="A220" t="s">
        <v>86</v>
      </c>
      <c r="B220" t="s">
        <v>43</v>
      </c>
      <c r="C220" t="s">
        <v>36</v>
      </c>
      <c r="D220">
        <v>1</v>
      </c>
    </row>
    <row r="221" spans="1:4">
      <c r="A221" t="s">
        <v>86</v>
      </c>
      <c r="B221" t="s">
        <v>43</v>
      </c>
      <c r="C221" t="s">
        <v>36</v>
      </c>
      <c r="D221">
        <v>0</v>
      </c>
    </row>
    <row r="222" spans="1:4">
      <c r="A222" t="s">
        <v>86</v>
      </c>
      <c r="B222" t="s">
        <v>43</v>
      </c>
      <c r="C222" t="s">
        <v>36</v>
      </c>
      <c r="D222">
        <v>0</v>
      </c>
    </row>
    <row r="223" spans="1:4">
      <c r="A223" t="s">
        <v>86</v>
      </c>
      <c r="B223" t="s">
        <v>43</v>
      </c>
      <c r="C223" t="s">
        <v>36</v>
      </c>
      <c r="D223">
        <v>1</v>
      </c>
    </row>
    <row r="224" spans="1:4">
      <c r="A224" t="s">
        <v>129</v>
      </c>
      <c r="B224" t="s">
        <v>209</v>
      </c>
      <c r="C224" t="s">
        <v>32</v>
      </c>
      <c r="D224">
        <v>3</v>
      </c>
    </row>
    <row r="225" spans="1:4">
      <c r="A225" t="s">
        <v>129</v>
      </c>
      <c r="B225" t="s">
        <v>209</v>
      </c>
      <c r="C225" t="s">
        <v>32</v>
      </c>
      <c r="D225">
        <v>0</v>
      </c>
    </row>
    <row r="226" spans="1:4">
      <c r="A226" t="s">
        <v>129</v>
      </c>
      <c r="B226" t="s">
        <v>209</v>
      </c>
      <c r="C226" t="s">
        <v>32</v>
      </c>
      <c r="D226">
        <v>0</v>
      </c>
    </row>
    <row r="227" spans="1:4">
      <c r="A227" t="s">
        <v>129</v>
      </c>
      <c r="B227" t="s">
        <v>209</v>
      </c>
      <c r="C227" t="s">
        <v>32</v>
      </c>
      <c r="D227">
        <v>3</v>
      </c>
    </row>
    <row r="228" spans="1:4">
      <c r="A228" t="s">
        <v>129</v>
      </c>
      <c r="B228" t="s">
        <v>209</v>
      </c>
      <c r="C228" t="s">
        <v>32</v>
      </c>
      <c r="D228">
        <v>0</v>
      </c>
    </row>
    <row r="229" spans="1:4">
      <c r="A229" t="s">
        <v>129</v>
      </c>
      <c r="B229" t="s">
        <v>209</v>
      </c>
      <c r="C229" t="s">
        <v>32</v>
      </c>
      <c r="D229">
        <v>1</v>
      </c>
    </row>
    <row r="230" spans="1:4">
      <c r="A230" t="s">
        <v>156</v>
      </c>
      <c r="C230" t="s">
        <v>33</v>
      </c>
      <c r="D230">
        <v>0</v>
      </c>
    </row>
    <row r="231" spans="1:4">
      <c r="A231" t="s">
        <v>156</v>
      </c>
      <c r="C231" t="s">
        <v>33</v>
      </c>
      <c r="D231">
        <v>0</v>
      </c>
    </row>
    <row r="232" spans="1:4">
      <c r="A232" t="s">
        <v>156</v>
      </c>
      <c r="C232" t="s">
        <v>33</v>
      </c>
      <c r="D232">
        <v>0</v>
      </c>
    </row>
    <row r="233" spans="1:4">
      <c r="A233" t="s">
        <v>156</v>
      </c>
      <c r="C233" t="s">
        <v>33</v>
      </c>
      <c r="D233">
        <v>3</v>
      </c>
    </row>
    <row r="234" spans="1:4">
      <c r="A234" t="s">
        <v>156</v>
      </c>
      <c r="C234" t="s">
        <v>33</v>
      </c>
      <c r="D234">
        <v>0</v>
      </c>
    </row>
    <row r="235" spans="1:4">
      <c r="A235" t="s">
        <v>144</v>
      </c>
      <c r="C235" t="s">
        <v>33</v>
      </c>
      <c r="D235">
        <v>0</v>
      </c>
    </row>
    <row r="236" spans="1:4">
      <c r="A236" t="s">
        <v>79</v>
      </c>
      <c r="B236" t="s">
        <v>210</v>
      </c>
      <c r="C236" t="s">
        <v>31</v>
      </c>
      <c r="D236">
        <v>0</v>
      </c>
    </row>
    <row r="237" spans="1:4">
      <c r="A237" t="s">
        <v>79</v>
      </c>
      <c r="B237" t="s">
        <v>210</v>
      </c>
      <c r="C237" t="s">
        <v>31</v>
      </c>
      <c r="D237">
        <v>1</v>
      </c>
    </row>
    <row r="238" spans="1:4">
      <c r="A238" t="s">
        <v>79</v>
      </c>
      <c r="B238" t="s">
        <v>210</v>
      </c>
      <c r="C238" t="s">
        <v>31</v>
      </c>
      <c r="D238">
        <v>3</v>
      </c>
    </row>
    <row r="239" spans="1:4">
      <c r="A239" t="s">
        <v>79</v>
      </c>
      <c r="B239" t="s">
        <v>210</v>
      </c>
      <c r="C239" t="s">
        <v>31</v>
      </c>
      <c r="D239">
        <v>0</v>
      </c>
    </row>
    <row r="240" spans="1:4">
      <c r="A240" t="s">
        <v>79</v>
      </c>
      <c r="B240" t="s">
        <v>210</v>
      </c>
      <c r="C240" t="s">
        <v>31</v>
      </c>
      <c r="D240">
        <v>3</v>
      </c>
    </row>
    <row r="241" spans="1:4">
      <c r="A241" t="s">
        <v>79</v>
      </c>
      <c r="B241" t="s">
        <v>210</v>
      </c>
      <c r="C241" t="s">
        <v>31</v>
      </c>
      <c r="D241">
        <v>0</v>
      </c>
    </row>
    <row r="242" spans="1:4">
      <c r="A242" t="s">
        <v>125</v>
      </c>
      <c r="B242" t="s">
        <v>49</v>
      </c>
      <c r="C242" t="s">
        <v>30</v>
      </c>
      <c r="D242">
        <v>0</v>
      </c>
    </row>
    <row r="243" spans="1:4">
      <c r="A243" t="s">
        <v>90</v>
      </c>
      <c r="B243" t="s">
        <v>44</v>
      </c>
      <c r="C243" t="s">
        <v>32</v>
      </c>
      <c r="D243">
        <v>3</v>
      </c>
    </row>
    <row r="244" spans="1:4">
      <c r="A244" t="s">
        <v>90</v>
      </c>
      <c r="B244" t="s">
        <v>44</v>
      </c>
      <c r="C244" t="s">
        <v>32</v>
      </c>
      <c r="D244">
        <v>3</v>
      </c>
    </row>
    <row r="245" spans="1:4">
      <c r="A245" t="s">
        <v>90</v>
      </c>
      <c r="B245" t="s">
        <v>44</v>
      </c>
      <c r="C245" t="s">
        <v>32</v>
      </c>
      <c r="D245">
        <v>3</v>
      </c>
    </row>
    <row r="246" spans="1:4">
      <c r="A246" t="s">
        <v>90</v>
      </c>
      <c r="B246" t="s">
        <v>44</v>
      </c>
      <c r="C246" t="s">
        <v>32</v>
      </c>
      <c r="D246">
        <v>3</v>
      </c>
    </row>
    <row r="247" spans="1:4">
      <c r="A247" t="s">
        <v>90</v>
      </c>
      <c r="B247" t="s">
        <v>44</v>
      </c>
      <c r="C247" t="s">
        <v>32</v>
      </c>
      <c r="D247">
        <v>1</v>
      </c>
    </row>
    <row r="248" spans="1:4">
      <c r="A248" t="s">
        <v>90</v>
      </c>
      <c r="B248" t="s">
        <v>44</v>
      </c>
      <c r="C248" t="s">
        <v>32</v>
      </c>
      <c r="D248">
        <v>3</v>
      </c>
    </row>
    <row r="249" spans="1:4">
      <c r="A249" t="s">
        <v>125</v>
      </c>
      <c r="B249" t="s">
        <v>49</v>
      </c>
      <c r="C249" t="s">
        <v>30</v>
      </c>
      <c r="D249">
        <v>3</v>
      </c>
    </row>
    <row r="250" spans="1:4">
      <c r="A250" t="s">
        <v>125</v>
      </c>
      <c r="B250" t="s">
        <v>49</v>
      </c>
      <c r="C250" t="s">
        <v>30</v>
      </c>
      <c r="D250">
        <v>3</v>
      </c>
    </row>
    <row r="251" spans="1:4">
      <c r="A251" t="s">
        <v>125</v>
      </c>
      <c r="B251" t="s">
        <v>49</v>
      </c>
      <c r="C251" t="s">
        <v>30</v>
      </c>
      <c r="D251">
        <v>0</v>
      </c>
    </row>
    <row r="252" spans="1:4">
      <c r="A252" t="s">
        <v>125</v>
      </c>
      <c r="B252" t="s">
        <v>49</v>
      </c>
      <c r="C252" t="s">
        <v>30</v>
      </c>
      <c r="D252">
        <v>0</v>
      </c>
    </row>
    <row r="253" spans="1:4">
      <c r="A253" t="s">
        <v>125</v>
      </c>
      <c r="B253" t="s">
        <v>49</v>
      </c>
      <c r="C253" t="s">
        <v>30</v>
      </c>
      <c r="D253">
        <v>0</v>
      </c>
    </row>
    <row r="254" spans="1:4">
      <c r="A254" t="s">
        <v>82</v>
      </c>
      <c r="B254" t="s">
        <v>54</v>
      </c>
      <c r="C254" t="s">
        <v>30</v>
      </c>
      <c r="D254">
        <v>3</v>
      </c>
    </row>
    <row r="255" spans="1:4">
      <c r="A255" t="s">
        <v>82</v>
      </c>
      <c r="B255" t="s">
        <v>54</v>
      </c>
      <c r="C255" t="s">
        <v>30</v>
      </c>
      <c r="D255">
        <v>3</v>
      </c>
    </row>
    <row r="256" spans="1:4">
      <c r="A256" t="s">
        <v>82</v>
      </c>
      <c r="B256" t="s">
        <v>54</v>
      </c>
      <c r="C256" t="s">
        <v>30</v>
      </c>
      <c r="D256">
        <v>0</v>
      </c>
    </row>
    <row r="257" spans="1:4">
      <c r="A257" t="s">
        <v>82</v>
      </c>
      <c r="B257" t="s">
        <v>54</v>
      </c>
      <c r="C257" t="s">
        <v>30</v>
      </c>
      <c r="D257">
        <v>1</v>
      </c>
    </row>
    <row r="258" spans="1:4">
      <c r="A258" t="s">
        <v>82</v>
      </c>
      <c r="B258" t="s">
        <v>54</v>
      </c>
      <c r="C258" t="s">
        <v>30</v>
      </c>
      <c r="D258">
        <v>0</v>
      </c>
    </row>
    <row r="259" spans="1:4">
      <c r="A259" t="s">
        <v>82</v>
      </c>
      <c r="B259" t="s">
        <v>54</v>
      </c>
      <c r="C259" t="s">
        <v>30</v>
      </c>
      <c r="D259">
        <v>0</v>
      </c>
    </row>
    <row r="260" spans="1:4">
      <c r="A260" t="s">
        <v>105</v>
      </c>
      <c r="B260" t="s">
        <v>41</v>
      </c>
      <c r="C260" t="s">
        <v>31</v>
      </c>
      <c r="D260">
        <v>1</v>
      </c>
    </row>
    <row r="261" spans="1:4">
      <c r="A261" t="s">
        <v>105</v>
      </c>
      <c r="B261" t="s">
        <v>41</v>
      </c>
      <c r="C261" t="s">
        <v>31</v>
      </c>
      <c r="D261">
        <v>1</v>
      </c>
    </row>
    <row r="262" spans="1:4">
      <c r="A262" t="s">
        <v>105</v>
      </c>
      <c r="B262" t="s">
        <v>41</v>
      </c>
      <c r="C262" t="s">
        <v>31</v>
      </c>
      <c r="D262">
        <v>0</v>
      </c>
    </row>
    <row r="263" spans="1:4">
      <c r="A263" t="s">
        <v>105</v>
      </c>
      <c r="B263" t="s">
        <v>41</v>
      </c>
      <c r="C263" t="s">
        <v>31</v>
      </c>
      <c r="D263">
        <v>1</v>
      </c>
    </row>
    <row r="264" spans="1:4">
      <c r="A264" t="s">
        <v>105</v>
      </c>
      <c r="B264" t="s">
        <v>41</v>
      </c>
      <c r="C264" t="s">
        <v>31</v>
      </c>
      <c r="D264">
        <v>0</v>
      </c>
    </row>
    <row r="265" spans="1:4">
      <c r="A265" t="s">
        <v>105</v>
      </c>
      <c r="B265" t="s">
        <v>41</v>
      </c>
      <c r="C265" t="s">
        <v>31</v>
      </c>
      <c r="D265">
        <v>0</v>
      </c>
    </row>
    <row r="266" spans="1:4">
      <c r="A266" t="s">
        <v>149</v>
      </c>
      <c r="B266" t="s">
        <v>49</v>
      </c>
      <c r="C266" t="s">
        <v>31</v>
      </c>
      <c r="D266">
        <v>0</v>
      </c>
    </row>
    <row r="267" spans="1:4">
      <c r="A267" t="s">
        <v>149</v>
      </c>
      <c r="B267" t="s">
        <v>49</v>
      </c>
      <c r="C267" t="s">
        <v>31</v>
      </c>
      <c r="D267">
        <v>1</v>
      </c>
    </row>
    <row r="268" spans="1:4">
      <c r="A268" t="s">
        <v>149</v>
      </c>
      <c r="B268" t="s">
        <v>49</v>
      </c>
      <c r="C268" t="s">
        <v>31</v>
      </c>
      <c r="D268">
        <v>3</v>
      </c>
    </row>
    <row r="269" spans="1:4">
      <c r="A269" t="s">
        <v>149</v>
      </c>
      <c r="B269" t="s">
        <v>49</v>
      </c>
      <c r="C269" t="s">
        <v>31</v>
      </c>
      <c r="D269">
        <v>1</v>
      </c>
    </row>
    <row r="270" spans="1:4">
      <c r="A270" t="s">
        <v>149</v>
      </c>
      <c r="B270" t="s">
        <v>49</v>
      </c>
      <c r="C270" t="s">
        <v>31</v>
      </c>
      <c r="D270">
        <v>0</v>
      </c>
    </row>
    <row r="271" spans="1:4">
      <c r="A271" t="s">
        <v>149</v>
      </c>
      <c r="B271" t="s">
        <v>49</v>
      </c>
      <c r="C271" t="s">
        <v>31</v>
      </c>
      <c r="D271">
        <v>1</v>
      </c>
    </row>
    <row r="272" spans="1:4">
      <c r="A272" t="s">
        <v>128</v>
      </c>
      <c r="B272" t="s">
        <v>31</v>
      </c>
      <c r="C272" t="s">
        <v>35</v>
      </c>
      <c r="D272">
        <v>3</v>
      </c>
    </row>
    <row r="273" spans="1:4">
      <c r="A273" t="s">
        <v>128</v>
      </c>
      <c r="B273" t="s">
        <v>31</v>
      </c>
      <c r="C273" t="s">
        <v>35</v>
      </c>
      <c r="D273">
        <v>3</v>
      </c>
    </row>
    <row r="274" spans="1:4">
      <c r="A274" t="s">
        <v>128</v>
      </c>
      <c r="B274" t="s">
        <v>31</v>
      </c>
      <c r="C274" t="s">
        <v>35</v>
      </c>
      <c r="D274">
        <v>3</v>
      </c>
    </row>
    <row r="275" spans="1:4">
      <c r="A275" t="s">
        <v>128</v>
      </c>
      <c r="B275" t="s">
        <v>31</v>
      </c>
      <c r="C275" t="s">
        <v>35</v>
      </c>
      <c r="D275">
        <v>3</v>
      </c>
    </row>
    <row r="276" spans="1:4">
      <c r="A276" t="s">
        <v>128</v>
      </c>
      <c r="B276" t="s">
        <v>31</v>
      </c>
      <c r="C276" t="s">
        <v>35</v>
      </c>
      <c r="D276">
        <v>3</v>
      </c>
    </row>
    <row r="277" spans="1:4">
      <c r="A277" t="s">
        <v>128</v>
      </c>
      <c r="B277" t="s">
        <v>31</v>
      </c>
      <c r="C277" t="s">
        <v>35</v>
      </c>
      <c r="D277">
        <v>0</v>
      </c>
    </row>
    <row r="278" spans="1:4">
      <c r="A278" t="s">
        <v>141</v>
      </c>
      <c r="C278" t="s">
        <v>31</v>
      </c>
      <c r="D278">
        <v>0</v>
      </c>
    </row>
    <row r="279" spans="1:4">
      <c r="A279" t="s">
        <v>141</v>
      </c>
      <c r="C279" t="s">
        <v>31</v>
      </c>
      <c r="D279">
        <v>0</v>
      </c>
    </row>
    <row r="280" spans="1:4">
      <c r="A280" t="s">
        <v>141</v>
      </c>
      <c r="C280" t="s">
        <v>31</v>
      </c>
      <c r="D280">
        <v>3</v>
      </c>
    </row>
    <row r="281" spans="1:4">
      <c r="A281" t="s">
        <v>141</v>
      </c>
      <c r="C281" t="s">
        <v>31</v>
      </c>
      <c r="D281">
        <v>0</v>
      </c>
    </row>
    <row r="282" spans="1:4">
      <c r="A282" t="s">
        <v>141</v>
      </c>
      <c r="C282" t="s">
        <v>31</v>
      </c>
      <c r="D282">
        <v>0</v>
      </c>
    </row>
    <row r="283" spans="1:4">
      <c r="A283" t="s">
        <v>141</v>
      </c>
      <c r="C283" t="s">
        <v>31</v>
      </c>
      <c r="D283">
        <v>0</v>
      </c>
    </row>
    <row r="284" spans="1:4">
      <c r="A284" t="s">
        <v>80</v>
      </c>
      <c r="C284" t="s">
        <v>30</v>
      </c>
      <c r="D284">
        <v>3</v>
      </c>
    </row>
    <row r="285" spans="1:4">
      <c r="A285" t="s">
        <v>80</v>
      </c>
      <c r="C285" t="s">
        <v>30</v>
      </c>
      <c r="D285">
        <v>3</v>
      </c>
    </row>
    <row r="286" spans="1:4">
      <c r="A286" s="105" t="s">
        <v>80</v>
      </c>
      <c r="C286" s="105" t="s">
        <v>30</v>
      </c>
      <c r="D286">
        <v>3</v>
      </c>
    </row>
    <row r="287" spans="1:4">
      <c r="A287" t="s">
        <v>80</v>
      </c>
      <c r="C287" t="s">
        <v>30</v>
      </c>
      <c r="D287">
        <v>1</v>
      </c>
    </row>
    <row r="288" spans="1:4">
      <c r="A288" t="s">
        <v>80</v>
      </c>
      <c r="C288" t="s">
        <v>30</v>
      </c>
      <c r="D288">
        <v>0</v>
      </c>
    </row>
    <row r="289" spans="1:4">
      <c r="A289" t="s">
        <v>80</v>
      </c>
      <c r="C289" t="s">
        <v>30</v>
      </c>
      <c r="D289">
        <v>0</v>
      </c>
    </row>
  </sheetData>
  <sortState xmlns:xlrd2="http://schemas.microsoft.com/office/spreadsheetml/2017/richdata2" ref="K3:AB50">
    <sortCondition descending="1" ref="R3:R50"/>
    <sortCondition ref="M3:M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F9A0-8500-4E03-9648-32562EE57E59}">
  <dimension ref="A1:V77"/>
  <sheetViews>
    <sheetView topLeftCell="F58" workbookViewId="0">
      <selection activeCell="F3" sqref="F3"/>
    </sheetView>
  </sheetViews>
  <sheetFormatPr defaultRowHeight="15"/>
  <cols>
    <col min="1" max="1" width="37.7109375" bestFit="1" customWidth="1"/>
    <col min="2" max="2" width="19.140625" bestFit="1" customWidth="1"/>
    <col min="3" max="3" width="33" bestFit="1" customWidth="1"/>
    <col min="10" max="10" width="19.140625" bestFit="1" customWidth="1"/>
    <col min="11" max="11" width="32.7109375" bestFit="1" customWidth="1"/>
    <col min="17" max="17" width="35.42578125" bestFit="1" customWidth="1"/>
    <col min="18" max="18" width="19.140625" bestFit="1" customWidth="1"/>
    <col min="19" max="19" width="31.7109375" bestFit="1" customWidth="1"/>
    <col min="21" max="21" width="10.85546875" bestFit="1" customWidth="1"/>
  </cols>
  <sheetData>
    <row r="1" spans="1:21">
      <c r="C1" t="s">
        <v>37</v>
      </c>
      <c r="K1" s="14" t="s">
        <v>37</v>
      </c>
      <c r="Q1" t="s">
        <v>211</v>
      </c>
      <c r="S1" t="s">
        <v>37</v>
      </c>
    </row>
    <row r="2" spans="1:21">
      <c r="A2" t="s">
        <v>48</v>
      </c>
      <c r="B2" t="s">
        <v>31</v>
      </c>
      <c r="C2" t="s">
        <v>212</v>
      </c>
      <c r="I2" t="s">
        <v>48</v>
      </c>
      <c r="J2" t="s">
        <v>30</v>
      </c>
      <c r="K2" t="s">
        <v>213</v>
      </c>
      <c r="Q2" t="s">
        <v>48</v>
      </c>
      <c r="R2" t="s">
        <v>32</v>
      </c>
      <c r="S2" t="s">
        <v>214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295"/>
      <c r="R3" s="296" t="s">
        <v>215</v>
      </c>
      <c r="S3" s="297" t="s">
        <v>216</v>
      </c>
      <c r="T3" s="298" t="s">
        <v>217</v>
      </c>
      <c r="U3" s="299" t="s">
        <v>218</v>
      </c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300" t="s">
        <v>219</v>
      </c>
      <c r="R4" s="301"/>
      <c r="S4" s="302"/>
      <c r="T4" s="303"/>
      <c r="U4" s="304"/>
    </row>
    <row r="5" spans="1:21">
      <c r="A5" s="72" t="s">
        <v>220</v>
      </c>
      <c r="B5" s="73" t="s">
        <v>221</v>
      </c>
      <c r="C5" s="256" t="s">
        <v>222</v>
      </c>
      <c r="D5" s="75" t="s">
        <v>223</v>
      </c>
      <c r="E5" s="76">
        <v>21</v>
      </c>
      <c r="I5" s="72" t="s">
        <v>220</v>
      </c>
      <c r="J5" s="73" t="s">
        <v>162</v>
      </c>
      <c r="K5" s="256" t="s">
        <v>224</v>
      </c>
      <c r="L5" s="75" t="s">
        <v>225</v>
      </c>
      <c r="M5" s="76">
        <v>50</v>
      </c>
      <c r="Q5" s="305" t="s">
        <v>220</v>
      </c>
      <c r="R5" s="306" t="s">
        <v>221</v>
      </c>
      <c r="S5" s="266" t="s">
        <v>222</v>
      </c>
      <c r="T5" s="307" t="s">
        <v>223</v>
      </c>
      <c r="U5" s="264">
        <v>21</v>
      </c>
    </row>
    <row r="6" spans="1:21">
      <c r="A6" s="72" t="s">
        <v>226</v>
      </c>
      <c r="B6" s="73" t="s">
        <v>227</v>
      </c>
      <c r="C6" s="257" t="s">
        <v>228</v>
      </c>
      <c r="D6" s="78" t="s">
        <v>223</v>
      </c>
      <c r="E6" s="76">
        <v>98</v>
      </c>
      <c r="I6" s="72" t="s">
        <v>226</v>
      </c>
      <c r="J6" s="73" t="s">
        <v>145</v>
      </c>
      <c r="K6" s="265" t="s">
        <v>229</v>
      </c>
      <c r="L6" s="78" t="s">
        <v>225</v>
      </c>
      <c r="M6" s="76">
        <v>88</v>
      </c>
      <c r="Q6" s="305" t="s">
        <v>226</v>
      </c>
      <c r="R6" s="306" t="s">
        <v>230</v>
      </c>
      <c r="S6" s="265" t="s">
        <v>231</v>
      </c>
      <c r="T6" s="308" t="s">
        <v>223</v>
      </c>
      <c r="U6" s="264">
        <v>70</v>
      </c>
    </row>
    <row r="7" spans="1:21">
      <c r="A7" s="72" t="s">
        <v>232</v>
      </c>
      <c r="B7" s="73" t="s">
        <v>221</v>
      </c>
      <c r="C7" s="257" t="s">
        <v>233</v>
      </c>
      <c r="D7" s="78" t="s">
        <v>223</v>
      </c>
      <c r="E7" s="76">
        <v>25</v>
      </c>
      <c r="I7" s="72" t="s">
        <v>232</v>
      </c>
      <c r="J7" s="73" t="s">
        <v>145</v>
      </c>
      <c r="K7" s="265" t="s">
        <v>229</v>
      </c>
      <c r="L7" s="78" t="s">
        <v>225</v>
      </c>
      <c r="M7" s="76">
        <v>88</v>
      </c>
      <c r="Q7" s="305" t="s">
        <v>232</v>
      </c>
      <c r="R7" s="306" t="s">
        <v>230</v>
      </c>
      <c r="S7" s="265" t="s">
        <v>231</v>
      </c>
      <c r="T7" s="308" t="s">
        <v>223</v>
      </c>
      <c r="U7" s="264">
        <v>70</v>
      </c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309"/>
      <c r="R8" s="310"/>
      <c r="S8" s="311"/>
      <c r="T8" s="312"/>
      <c r="U8" s="313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300" t="s">
        <v>234</v>
      </c>
      <c r="R9" s="310"/>
      <c r="S9" s="311"/>
      <c r="T9" s="312"/>
      <c r="U9" s="313"/>
    </row>
    <row r="10" spans="1:21">
      <c r="A10" s="72" t="s">
        <v>235</v>
      </c>
      <c r="B10" s="84" t="s">
        <v>227</v>
      </c>
      <c r="C10" s="234" t="s">
        <v>236</v>
      </c>
      <c r="D10" s="86" t="s">
        <v>223</v>
      </c>
      <c r="E10" s="87">
        <v>60</v>
      </c>
      <c r="I10" s="72" t="s">
        <v>235</v>
      </c>
      <c r="J10" s="84" t="s">
        <v>100</v>
      </c>
      <c r="K10" s="234" t="s">
        <v>237</v>
      </c>
      <c r="L10" s="86" t="s">
        <v>225</v>
      </c>
      <c r="M10" s="87">
        <v>36</v>
      </c>
      <c r="Q10" s="305" t="s">
        <v>235</v>
      </c>
      <c r="R10" s="314" t="s">
        <v>227</v>
      </c>
      <c r="S10" s="328" t="s">
        <v>238</v>
      </c>
      <c r="T10" s="316" t="s">
        <v>223</v>
      </c>
      <c r="U10" s="317">
        <v>45</v>
      </c>
    </row>
    <row r="11" spans="1:21">
      <c r="A11" s="72" t="s">
        <v>239</v>
      </c>
      <c r="B11" s="84" t="s">
        <v>227</v>
      </c>
      <c r="C11" s="234" t="s">
        <v>239</v>
      </c>
      <c r="D11" s="86" t="s">
        <v>223</v>
      </c>
      <c r="E11" s="87">
        <v>35</v>
      </c>
      <c r="I11" s="42"/>
      <c r="J11" s="80"/>
      <c r="K11" s="81"/>
      <c r="L11" s="82"/>
      <c r="M11" s="83"/>
      <c r="Q11" s="295"/>
      <c r="R11" s="310"/>
      <c r="S11" s="311"/>
      <c r="T11" s="312"/>
      <c r="U11" s="313"/>
    </row>
    <row r="12" spans="1:21">
      <c r="A12" s="72" t="s">
        <v>239</v>
      </c>
      <c r="B12" s="84" t="s">
        <v>227</v>
      </c>
      <c r="C12" s="234" t="s">
        <v>239</v>
      </c>
      <c r="D12" s="86" t="s">
        <v>223</v>
      </c>
      <c r="E12" s="87">
        <v>35</v>
      </c>
      <c r="I12" s="42"/>
      <c r="J12" s="80"/>
      <c r="K12" s="81"/>
      <c r="L12" s="82"/>
      <c r="M12" s="83"/>
      <c r="Q12" s="295"/>
      <c r="R12" s="310"/>
      <c r="S12" s="311"/>
      <c r="T12" s="312"/>
      <c r="U12" s="313"/>
    </row>
    <row r="13" spans="1:21">
      <c r="A13" s="72" t="s">
        <v>240</v>
      </c>
      <c r="B13" s="84" t="s">
        <v>227</v>
      </c>
      <c r="C13" s="234" t="s">
        <v>241</v>
      </c>
      <c r="D13" s="86" t="s">
        <v>223</v>
      </c>
      <c r="E13" s="87">
        <v>62</v>
      </c>
      <c r="I13" s="67" t="s">
        <v>242</v>
      </c>
      <c r="J13" s="84"/>
      <c r="K13" s="85"/>
      <c r="L13" s="86"/>
      <c r="M13" s="87">
        <v>262</v>
      </c>
      <c r="Q13" s="300" t="s">
        <v>242</v>
      </c>
      <c r="R13" s="314"/>
      <c r="S13" s="315"/>
      <c r="T13" s="316"/>
      <c r="U13" s="317">
        <f>SUM(U5:U12)</f>
        <v>206</v>
      </c>
    </row>
    <row r="14" spans="1:21">
      <c r="A14" s="42"/>
      <c r="B14" s="80"/>
      <c r="C14" s="81"/>
      <c r="D14" s="82"/>
      <c r="E14" s="83"/>
      <c r="I14" s="67" t="s">
        <v>243</v>
      </c>
      <c r="J14" s="84"/>
      <c r="K14" s="85"/>
      <c r="L14" s="86"/>
      <c r="M14" s="87">
        <v>4</v>
      </c>
      <c r="Q14" s="300" t="s">
        <v>243</v>
      </c>
      <c r="R14" s="314"/>
      <c r="S14" s="315"/>
      <c r="T14" s="316"/>
      <c r="U14" s="317">
        <v>4</v>
      </c>
    </row>
    <row r="15" spans="1:21">
      <c r="A15" s="42"/>
      <c r="B15" s="80"/>
      <c r="C15" s="81"/>
      <c r="D15" s="82"/>
      <c r="E15" s="83"/>
    </row>
    <row r="16" spans="1:21">
      <c r="A16" s="67" t="s">
        <v>242</v>
      </c>
      <c r="B16" s="84"/>
      <c r="C16" s="85"/>
      <c r="D16" s="86"/>
      <c r="E16" s="87">
        <v>336</v>
      </c>
    </row>
    <row r="17" spans="1:21">
      <c r="A17" s="67" t="s">
        <v>243</v>
      </c>
      <c r="B17" s="84"/>
      <c r="C17" s="85"/>
      <c r="D17" s="86"/>
      <c r="E17" s="87">
        <v>7</v>
      </c>
    </row>
    <row r="19" spans="1:21" ht="45.75">
      <c r="A19" s="42"/>
      <c r="B19" s="43" t="s">
        <v>215</v>
      </c>
      <c r="C19" s="65" t="s">
        <v>216</v>
      </c>
      <c r="D19" s="66" t="s">
        <v>217</v>
      </c>
      <c r="E19" s="45" t="s">
        <v>218</v>
      </c>
      <c r="I19" s="42"/>
      <c r="J19" s="63" t="s">
        <v>215</v>
      </c>
      <c r="K19" s="65" t="s">
        <v>216</v>
      </c>
      <c r="L19" s="66" t="s">
        <v>217</v>
      </c>
      <c r="M19" s="45" t="s">
        <v>218</v>
      </c>
      <c r="Q19" s="295"/>
      <c r="R19" s="318" t="s">
        <v>215</v>
      </c>
      <c r="S19" s="297" t="s">
        <v>216</v>
      </c>
      <c r="T19" s="298" t="s">
        <v>217</v>
      </c>
      <c r="U19" s="299" t="s">
        <v>218</v>
      </c>
    </row>
    <row r="20" spans="1:21">
      <c r="A20" s="67" t="s">
        <v>219</v>
      </c>
      <c r="B20" s="68"/>
      <c r="C20" s="69"/>
      <c r="D20" s="70"/>
      <c r="E20" s="71"/>
      <c r="I20" s="67" t="s">
        <v>219</v>
      </c>
      <c r="J20" s="68"/>
      <c r="K20" s="69"/>
      <c r="L20" s="70"/>
      <c r="M20" s="71"/>
      <c r="Q20" s="300" t="s">
        <v>219</v>
      </c>
      <c r="R20" s="301"/>
      <c r="S20" s="302"/>
      <c r="T20" s="303"/>
      <c r="U20" s="304"/>
    </row>
    <row r="21" spans="1:21">
      <c r="A21" s="72" t="s">
        <v>220</v>
      </c>
      <c r="B21" s="73" t="s">
        <v>221</v>
      </c>
      <c r="C21" s="256" t="s">
        <v>222</v>
      </c>
      <c r="D21" s="75" t="s">
        <v>223</v>
      </c>
      <c r="E21" s="76">
        <v>21</v>
      </c>
      <c r="I21" s="72" t="s">
        <v>220</v>
      </c>
      <c r="J21" s="73" t="s">
        <v>145</v>
      </c>
      <c r="K21" s="256" t="s">
        <v>244</v>
      </c>
      <c r="L21" s="75" t="s">
        <v>225</v>
      </c>
      <c r="M21" s="76">
        <v>40</v>
      </c>
      <c r="Q21" s="305" t="s">
        <v>220</v>
      </c>
      <c r="R21" s="306" t="s">
        <v>221</v>
      </c>
      <c r="S21" s="266" t="s">
        <v>222</v>
      </c>
      <c r="T21" s="307" t="s">
        <v>223</v>
      </c>
      <c r="U21" s="264">
        <v>21</v>
      </c>
    </row>
    <row r="22" spans="1:21">
      <c r="A22" s="72" t="s">
        <v>226</v>
      </c>
      <c r="B22" s="73" t="s">
        <v>227</v>
      </c>
      <c r="C22" s="257" t="s">
        <v>228</v>
      </c>
      <c r="D22" s="78" t="s">
        <v>223</v>
      </c>
      <c r="E22" s="76">
        <v>98</v>
      </c>
      <c r="I22" s="72" t="s">
        <v>226</v>
      </c>
      <c r="J22" s="73" t="s">
        <v>245</v>
      </c>
      <c r="K22" s="257" t="s">
        <v>246</v>
      </c>
      <c r="L22" s="78" t="s">
        <v>225</v>
      </c>
      <c r="M22" s="76">
        <v>110</v>
      </c>
      <c r="Q22" s="305" t="s">
        <v>226</v>
      </c>
      <c r="R22" s="306" t="s">
        <v>230</v>
      </c>
      <c r="S22" s="265" t="s">
        <v>247</v>
      </c>
      <c r="T22" s="308" t="s">
        <v>223</v>
      </c>
      <c r="U22" s="264">
        <v>70</v>
      </c>
    </row>
    <row r="23" spans="1:21">
      <c r="A23" s="72" t="s">
        <v>232</v>
      </c>
      <c r="B23" s="73" t="s">
        <v>221</v>
      </c>
      <c r="C23" s="257" t="s">
        <v>233</v>
      </c>
      <c r="D23" s="78" t="s">
        <v>223</v>
      </c>
      <c r="E23" s="76">
        <v>25</v>
      </c>
      <c r="I23" s="72" t="s">
        <v>232</v>
      </c>
      <c r="J23" s="73" t="s">
        <v>245</v>
      </c>
      <c r="K23" s="257" t="s">
        <v>246</v>
      </c>
      <c r="L23" s="78" t="s">
        <v>225</v>
      </c>
      <c r="M23" s="76">
        <v>110</v>
      </c>
      <c r="Q23" s="305" t="s">
        <v>232</v>
      </c>
      <c r="R23" s="306" t="s">
        <v>227</v>
      </c>
      <c r="S23" s="265" t="s">
        <v>248</v>
      </c>
      <c r="T23" s="308" t="s">
        <v>223</v>
      </c>
      <c r="U23" s="264">
        <v>60</v>
      </c>
    </row>
    <row r="24" spans="1:21">
      <c r="A24" s="79"/>
      <c r="B24" s="80"/>
      <c r="C24" s="81"/>
      <c r="D24" s="82"/>
      <c r="E24" s="83"/>
      <c r="I24" s="79"/>
      <c r="J24" s="80"/>
      <c r="K24" s="81"/>
      <c r="L24" s="82"/>
      <c r="M24" s="83"/>
      <c r="Q24" s="309"/>
      <c r="R24" s="310"/>
      <c r="S24" s="311"/>
      <c r="T24" s="312"/>
      <c r="U24" s="313"/>
    </row>
    <row r="25" spans="1:21">
      <c r="A25" s="67" t="s">
        <v>234</v>
      </c>
      <c r="B25" s="80"/>
      <c r="C25" s="81"/>
      <c r="D25" s="82"/>
      <c r="E25" s="83"/>
      <c r="I25" s="67" t="s">
        <v>234</v>
      </c>
      <c r="J25" s="80"/>
      <c r="K25" s="81"/>
      <c r="L25" s="82"/>
      <c r="M25" s="83"/>
      <c r="Q25" s="300" t="s">
        <v>234</v>
      </c>
      <c r="R25" s="310"/>
      <c r="S25" s="311"/>
      <c r="T25" s="312"/>
      <c r="U25" s="313"/>
    </row>
    <row r="26" spans="1:21">
      <c r="A26" s="72" t="s">
        <v>235</v>
      </c>
      <c r="B26" s="84" t="s">
        <v>227</v>
      </c>
      <c r="C26" s="234" t="s">
        <v>236</v>
      </c>
      <c r="D26" s="86" t="s">
        <v>223</v>
      </c>
      <c r="E26" s="87">
        <v>60</v>
      </c>
      <c r="I26" s="72" t="s">
        <v>235</v>
      </c>
      <c r="J26" s="84" t="s">
        <v>100</v>
      </c>
      <c r="K26" s="234" t="s">
        <v>237</v>
      </c>
      <c r="L26" s="86" t="s">
        <v>225</v>
      </c>
      <c r="M26" s="87">
        <v>36</v>
      </c>
      <c r="Q26" s="305" t="s">
        <v>235</v>
      </c>
      <c r="R26" s="314" t="s">
        <v>227</v>
      </c>
      <c r="S26" s="328" t="s">
        <v>238</v>
      </c>
      <c r="T26" s="316" t="s">
        <v>223</v>
      </c>
      <c r="U26" s="317">
        <v>45</v>
      </c>
    </row>
    <row r="27" spans="1:21">
      <c r="A27" s="72" t="s">
        <v>239</v>
      </c>
      <c r="B27" s="84" t="s">
        <v>227</v>
      </c>
      <c r="C27" s="234" t="s">
        <v>239</v>
      </c>
      <c r="D27" s="86" t="s">
        <v>223</v>
      </c>
      <c r="E27" s="87">
        <v>35</v>
      </c>
      <c r="I27" s="42"/>
      <c r="J27" s="80"/>
      <c r="K27" s="81"/>
      <c r="L27" s="82"/>
      <c r="M27" s="83"/>
      <c r="Q27" s="295"/>
      <c r="R27" s="310"/>
      <c r="S27" s="311"/>
      <c r="T27" s="312"/>
      <c r="U27" s="313"/>
    </row>
    <row r="28" spans="1:21">
      <c r="A28" s="72" t="s">
        <v>239</v>
      </c>
      <c r="B28" s="84" t="s">
        <v>227</v>
      </c>
      <c r="C28" s="234" t="s">
        <v>239</v>
      </c>
      <c r="D28" s="86" t="s">
        <v>223</v>
      </c>
      <c r="E28" s="87">
        <v>35</v>
      </c>
      <c r="I28" s="42"/>
      <c r="J28" s="80"/>
      <c r="K28" s="81"/>
      <c r="L28" s="82"/>
      <c r="M28" s="83"/>
      <c r="Q28" s="295"/>
      <c r="R28" s="310"/>
      <c r="S28" s="311"/>
      <c r="T28" s="312"/>
      <c r="U28" s="313"/>
    </row>
    <row r="29" spans="1:21">
      <c r="A29" s="72" t="s">
        <v>240</v>
      </c>
      <c r="B29" s="84" t="s">
        <v>227</v>
      </c>
      <c r="C29" s="234" t="s">
        <v>241</v>
      </c>
      <c r="D29" s="86" t="s">
        <v>223</v>
      </c>
      <c r="E29" s="87">
        <v>62</v>
      </c>
      <c r="I29" s="67" t="s">
        <v>242</v>
      </c>
      <c r="J29" s="84"/>
      <c r="K29" s="85"/>
      <c r="L29" s="86"/>
      <c r="M29" s="87">
        <v>296</v>
      </c>
      <c r="Q29" s="300" t="s">
        <v>242</v>
      </c>
      <c r="R29" s="314"/>
      <c r="S29" s="315"/>
      <c r="T29" s="316"/>
      <c r="U29" s="317">
        <f>SUM(U21:U28)</f>
        <v>196</v>
      </c>
    </row>
    <row r="30" spans="1:21">
      <c r="A30" s="42"/>
      <c r="B30" s="80"/>
      <c r="C30" s="81"/>
      <c r="D30" s="82"/>
      <c r="E30" s="83"/>
      <c r="I30" s="67" t="s">
        <v>243</v>
      </c>
      <c r="J30" s="84"/>
      <c r="K30" s="85"/>
      <c r="L30" s="86"/>
      <c r="M30" s="87">
        <v>4</v>
      </c>
      <c r="Q30" s="300" t="s">
        <v>243</v>
      </c>
      <c r="R30" s="314"/>
      <c r="S30" s="315"/>
      <c r="T30" s="316"/>
      <c r="U30" s="317">
        <v>4</v>
      </c>
    </row>
    <row r="31" spans="1:21">
      <c r="A31" s="42"/>
      <c r="B31" s="80"/>
      <c r="C31" s="81"/>
      <c r="D31" s="82"/>
      <c r="E31" s="83"/>
    </row>
    <row r="32" spans="1:21">
      <c r="A32" s="67" t="s">
        <v>242</v>
      </c>
      <c r="B32" s="84"/>
      <c r="C32" s="85"/>
      <c r="D32" s="86"/>
      <c r="E32" s="87">
        <v>336</v>
      </c>
    </row>
    <row r="33" spans="1:21">
      <c r="A33" s="67" t="s">
        <v>243</v>
      </c>
      <c r="B33" s="84"/>
      <c r="C33" s="85"/>
      <c r="D33" s="86"/>
      <c r="E33" s="87">
        <v>7</v>
      </c>
    </row>
    <row r="35" spans="1:21" ht="45.75">
      <c r="A35" s="42"/>
      <c r="B35" s="43" t="s">
        <v>215</v>
      </c>
      <c r="C35" s="65" t="s">
        <v>216</v>
      </c>
      <c r="D35" s="66" t="s">
        <v>217</v>
      </c>
      <c r="E35" s="45" t="s">
        <v>218</v>
      </c>
      <c r="I35" s="42"/>
      <c r="J35" s="43" t="s">
        <v>215</v>
      </c>
      <c r="K35" s="65" t="s">
        <v>216</v>
      </c>
      <c r="L35" s="66" t="s">
        <v>217</v>
      </c>
      <c r="M35" s="45" t="s">
        <v>218</v>
      </c>
      <c r="Q35" s="295"/>
      <c r="R35" s="296" t="s">
        <v>215</v>
      </c>
      <c r="S35" s="297" t="s">
        <v>216</v>
      </c>
      <c r="T35" s="298" t="s">
        <v>217</v>
      </c>
      <c r="U35" s="299" t="s">
        <v>218</v>
      </c>
    </row>
    <row r="36" spans="1:21">
      <c r="A36" s="67" t="s">
        <v>219</v>
      </c>
      <c r="B36" s="68"/>
      <c r="C36" s="69"/>
      <c r="D36" s="70"/>
      <c r="E36" s="71"/>
      <c r="I36" s="67" t="s">
        <v>219</v>
      </c>
      <c r="J36" s="68"/>
      <c r="K36" s="69"/>
      <c r="L36" s="70"/>
      <c r="M36" s="71"/>
      <c r="Q36" s="300" t="s">
        <v>219</v>
      </c>
      <c r="R36" s="301"/>
      <c r="S36" s="302"/>
      <c r="T36" s="303"/>
      <c r="U36" s="304"/>
    </row>
    <row r="37" spans="1:21">
      <c r="A37" s="72" t="s">
        <v>220</v>
      </c>
      <c r="B37" s="73" t="s">
        <v>221</v>
      </c>
      <c r="C37" s="256" t="s">
        <v>222</v>
      </c>
      <c r="D37" s="75" t="s">
        <v>223</v>
      </c>
      <c r="E37" s="76">
        <v>21</v>
      </c>
      <c r="I37" s="72" t="s">
        <v>220</v>
      </c>
      <c r="J37" s="73" t="s">
        <v>249</v>
      </c>
      <c r="K37" s="256" t="s">
        <v>222</v>
      </c>
      <c r="L37" s="75" t="s">
        <v>225</v>
      </c>
      <c r="M37" s="76">
        <v>21</v>
      </c>
      <c r="Q37" s="305" t="s">
        <v>220</v>
      </c>
      <c r="R37" s="306" t="s">
        <v>221</v>
      </c>
      <c r="S37" s="266" t="s">
        <v>222</v>
      </c>
      <c r="T37" s="307" t="s">
        <v>223</v>
      </c>
      <c r="U37" s="264">
        <v>21</v>
      </c>
    </row>
    <row r="38" spans="1:21">
      <c r="A38" s="72" t="s">
        <v>250</v>
      </c>
      <c r="B38" s="73" t="s">
        <v>221</v>
      </c>
      <c r="C38" s="267" t="s">
        <v>251</v>
      </c>
      <c r="D38" s="78" t="s">
        <v>223</v>
      </c>
      <c r="E38" s="76">
        <v>46</v>
      </c>
      <c r="I38" s="25" t="s">
        <v>252</v>
      </c>
      <c r="J38" s="73" t="s">
        <v>145</v>
      </c>
      <c r="K38" s="257" t="s">
        <v>253</v>
      </c>
      <c r="L38" s="78" t="s">
        <v>225</v>
      </c>
      <c r="M38" s="76">
        <v>70</v>
      </c>
      <c r="Q38" s="319" t="s">
        <v>252</v>
      </c>
      <c r="R38" s="306" t="s">
        <v>227</v>
      </c>
      <c r="S38" s="265" t="s">
        <v>253</v>
      </c>
      <c r="T38" s="308" t="s">
        <v>223</v>
      </c>
      <c r="U38" s="264">
        <v>70</v>
      </c>
    </row>
    <row r="39" spans="1:21">
      <c r="A39" s="79"/>
      <c r="B39" s="80"/>
      <c r="C39" s="81"/>
      <c r="D39" s="82"/>
      <c r="E39" s="83"/>
      <c r="I39" s="25" t="s">
        <v>254</v>
      </c>
      <c r="J39" s="73" t="s">
        <v>145</v>
      </c>
      <c r="K39" s="257" t="s">
        <v>253</v>
      </c>
      <c r="L39" s="78" t="s">
        <v>225</v>
      </c>
      <c r="M39" s="76">
        <v>70</v>
      </c>
      <c r="Q39" s="319" t="s">
        <v>254</v>
      </c>
      <c r="R39" s="306" t="s">
        <v>227</v>
      </c>
      <c r="S39" s="265" t="s">
        <v>253</v>
      </c>
      <c r="T39" s="308" t="s">
        <v>223</v>
      </c>
      <c r="U39" s="264">
        <v>70</v>
      </c>
    </row>
    <row r="40" spans="1:21">
      <c r="A40" s="67" t="s">
        <v>234</v>
      </c>
      <c r="B40" s="80"/>
      <c r="C40" s="81"/>
      <c r="D40" s="82"/>
      <c r="E40" s="83"/>
      <c r="I40" s="79"/>
      <c r="J40" s="80"/>
      <c r="K40" s="81"/>
      <c r="L40" s="82"/>
      <c r="M40" s="83"/>
      <c r="Q40" s="309"/>
      <c r="R40" s="310"/>
      <c r="S40" s="311"/>
      <c r="T40" s="312"/>
      <c r="U40" s="313"/>
    </row>
    <row r="41" spans="1:21">
      <c r="A41" s="72" t="s">
        <v>250</v>
      </c>
      <c r="B41" s="84" t="s">
        <v>227</v>
      </c>
      <c r="C41" s="125" t="s">
        <v>255</v>
      </c>
      <c r="D41" s="89" t="s">
        <v>223</v>
      </c>
      <c r="E41" s="87">
        <v>40</v>
      </c>
      <c r="I41" s="67" t="s">
        <v>234</v>
      </c>
      <c r="J41" s="80"/>
      <c r="K41" s="81"/>
      <c r="L41" s="82"/>
      <c r="M41" s="83"/>
      <c r="Q41" s="300" t="s">
        <v>234</v>
      </c>
      <c r="R41" s="310"/>
      <c r="S41" s="311"/>
      <c r="T41" s="312"/>
      <c r="U41" s="313"/>
    </row>
    <row r="42" spans="1:21">
      <c r="A42" s="72" t="s">
        <v>250</v>
      </c>
      <c r="B42" s="84" t="s">
        <v>227</v>
      </c>
      <c r="C42" s="234" t="s">
        <v>255</v>
      </c>
      <c r="D42" s="86" t="s">
        <v>223</v>
      </c>
      <c r="E42" s="87">
        <v>40</v>
      </c>
      <c r="I42" s="25" t="s">
        <v>256</v>
      </c>
      <c r="J42" s="84" t="s">
        <v>145</v>
      </c>
      <c r="K42" s="234" t="s">
        <v>257</v>
      </c>
      <c r="L42" s="86" t="s">
        <v>225</v>
      </c>
      <c r="M42" s="87">
        <v>55</v>
      </c>
      <c r="Q42" s="319" t="s">
        <v>256</v>
      </c>
      <c r="R42" s="314" t="s">
        <v>227</v>
      </c>
      <c r="S42" s="328" t="s">
        <v>257</v>
      </c>
      <c r="T42" s="316" t="s">
        <v>223</v>
      </c>
      <c r="U42" s="317">
        <v>55</v>
      </c>
    </row>
    <row r="43" spans="1:21">
      <c r="A43" s="42"/>
      <c r="B43" s="80"/>
      <c r="C43" s="81"/>
      <c r="D43" s="82"/>
      <c r="E43" s="83"/>
      <c r="I43" s="25" t="s">
        <v>256</v>
      </c>
      <c r="J43" s="84" t="s">
        <v>145</v>
      </c>
      <c r="K43" s="234" t="s">
        <v>258</v>
      </c>
      <c r="L43" s="86" t="s">
        <v>225</v>
      </c>
      <c r="M43" s="87">
        <v>25</v>
      </c>
      <c r="Q43" s="295"/>
      <c r="R43" s="310"/>
      <c r="S43" s="311"/>
      <c r="T43" s="312"/>
      <c r="U43" s="313"/>
    </row>
    <row r="44" spans="1:21">
      <c r="A44" s="42"/>
      <c r="B44" s="80"/>
      <c r="C44" s="81"/>
      <c r="D44" s="82"/>
      <c r="E44" s="83"/>
      <c r="I44" s="25" t="s">
        <v>256</v>
      </c>
      <c r="J44" s="84" t="s">
        <v>162</v>
      </c>
      <c r="K44" s="234" t="s">
        <v>258</v>
      </c>
      <c r="L44" s="86" t="s">
        <v>225</v>
      </c>
      <c r="M44" s="87">
        <v>25</v>
      </c>
      <c r="Q44" s="295"/>
      <c r="R44" s="310"/>
      <c r="S44" s="311"/>
      <c r="T44" s="312"/>
      <c r="U44" s="313"/>
    </row>
    <row r="45" spans="1:21">
      <c r="A45" s="67" t="s">
        <v>242</v>
      </c>
      <c r="B45" s="84"/>
      <c r="C45" s="85"/>
      <c r="D45" s="86"/>
      <c r="E45" s="87">
        <v>147</v>
      </c>
      <c r="I45" s="42"/>
      <c r="J45" s="80"/>
      <c r="K45" s="81"/>
      <c r="L45" s="82"/>
      <c r="M45" s="83"/>
      <c r="Q45" s="300" t="s">
        <v>242</v>
      </c>
      <c r="R45" s="314"/>
      <c r="S45" s="315"/>
      <c r="T45" s="316"/>
      <c r="U45" s="317">
        <f>SUM(U37:U44)</f>
        <v>216</v>
      </c>
    </row>
    <row r="46" spans="1:21">
      <c r="A46" s="67" t="s">
        <v>243</v>
      </c>
      <c r="B46" s="84"/>
      <c r="C46" s="85"/>
      <c r="D46" s="86"/>
      <c r="E46" s="87">
        <v>4</v>
      </c>
      <c r="I46" s="42"/>
      <c r="J46" s="80"/>
      <c r="K46" s="81"/>
      <c r="L46" s="82"/>
      <c r="M46" s="83"/>
      <c r="Q46" s="300" t="s">
        <v>243</v>
      </c>
      <c r="R46" s="314"/>
      <c r="S46" s="315"/>
      <c r="T46" s="316"/>
      <c r="U46" s="317">
        <v>4</v>
      </c>
    </row>
    <row r="47" spans="1:21">
      <c r="I47" s="67" t="s">
        <v>242</v>
      </c>
      <c r="J47" s="84"/>
      <c r="K47" s="85"/>
      <c r="L47" s="86"/>
      <c r="M47" s="87">
        <v>266</v>
      </c>
    </row>
    <row r="48" spans="1:21" ht="45.75">
      <c r="A48" s="42"/>
      <c r="B48" s="43" t="s">
        <v>215</v>
      </c>
      <c r="C48" s="65" t="s">
        <v>216</v>
      </c>
      <c r="D48" s="66" t="s">
        <v>217</v>
      </c>
      <c r="E48" s="45" t="s">
        <v>218</v>
      </c>
      <c r="I48" s="67" t="s">
        <v>243</v>
      </c>
      <c r="J48" s="84"/>
      <c r="K48" s="85"/>
      <c r="L48" s="86"/>
      <c r="M48" s="87">
        <v>6</v>
      </c>
    </row>
    <row r="49" spans="1:22">
      <c r="A49" s="67" t="s">
        <v>219</v>
      </c>
      <c r="B49" s="68"/>
      <c r="C49" s="69"/>
      <c r="D49" s="70"/>
      <c r="E49" s="71"/>
    </row>
    <row r="50" spans="1:22" ht="53.25" customHeight="1">
      <c r="A50" s="88" t="s">
        <v>259</v>
      </c>
      <c r="B50" s="73" t="s">
        <v>227</v>
      </c>
      <c r="C50" s="256" t="s">
        <v>260</v>
      </c>
      <c r="D50" s="75" t="s">
        <v>223</v>
      </c>
      <c r="E50" s="76">
        <v>145</v>
      </c>
      <c r="I50" s="42"/>
      <c r="J50" s="43" t="s">
        <v>215</v>
      </c>
      <c r="K50" s="65" t="s">
        <v>216</v>
      </c>
      <c r="L50" s="66" t="s">
        <v>217</v>
      </c>
      <c r="M50" s="45" t="s">
        <v>218</v>
      </c>
      <c r="Q50" s="295"/>
      <c r="R50" s="296" t="s">
        <v>215</v>
      </c>
      <c r="S50" s="297" t="s">
        <v>216</v>
      </c>
      <c r="T50" s="298" t="s">
        <v>217</v>
      </c>
      <c r="U50" s="299" t="s">
        <v>218</v>
      </c>
    </row>
    <row r="51" spans="1:22" ht="36" customHeight="1">
      <c r="A51" s="88" t="s">
        <v>261</v>
      </c>
      <c r="B51" s="73" t="s">
        <v>227</v>
      </c>
      <c r="C51" s="257" t="s">
        <v>262</v>
      </c>
      <c r="D51" s="78" t="s">
        <v>223</v>
      </c>
      <c r="E51" s="76">
        <v>135</v>
      </c>
      <c r="I51" s="67" t="s">
        <v>219</v>
      </c>
      <c r="J51" s="68"/>
      <c r="K51" s="69"/>
      <c r="L51" s="70"/>
      <c r="M51" s="71"/>
      <c r="Q51" s="300" t="s">
        <v>219</v>
      </c>
      <c r="R51" s="301"/>
      <c r="S51" s="302"/>
      <c r="T51" s="303"/>
      <c r="U51" s="304"/>
    </row>
    <row r="52" spans="1:22">
      <c r="A52" s="42"/>
      <c r="B52" s="80"/>
      <c r="C52" s="81"/>
      <c r="D52" s="82"/>
      <c r="E52" s="83"/>
      <c r="I52" s="72" t="s">
        <v>220</v>
      </c>
      <c r="J52" s="73" t="s">
        <v>249</v>
      </c>
      <c r="K52" s="266" t="s">
        <v>222</v>
      </c>
      <c r="L52" s="75" t="s">
        <v>225</v>
      </c>
      <c r="M52" s="76">
        <v>21</v>
      </c>
      <c r="Q52" s="305" t="s">
        <v>220</v>
      </c>
      <c r="R52" s="306" t="s">
        <v>221</v>
      </c>
      <c r="S52" s="266" t="s">
        <v>263</v>
      </c>
      <c r="T52" s="307" t="s">
        <v>223</v>
      </c>
      <c r="U52" s="264">
        <v>21</v>
      </c>
      <c r="V52" t="s">
        <v>264</v>
      </c>
    </row>
    <row r="53" spans="1:22">
      <c r="A53" s="42"/>
      <c r="B53" s="80"/>
      <c r="C53" s="81"/>
      <c r="D53" s="82"/>
      <c r="E53" s="83"/>
      <c r="I53" s="72" t="s">
        <v>250</v>
      </c>
      <c r="J53" s="73" t="s">
        <v>162</v>
      </c>
      <c r="K53" s="267" t="s">
        <v>265</v>
      </c>
      <c r="L53" s="78" t="s">
        <v>225</v>
      </c>
      <c r="M53" s="76">
        <v>75</v>
      </c>
      <c r="Q53" s="319" t="s">
        <v>266</v>
      </c>
      <c r="R53" s="306" t="s">
        <v>227</v>
      </c>
      <c r="S53" s="265" t="s">
        <v>267</v>
      </c>
      <c r="T53" s="308" t="s">
        <v>223</v>
      </c>
      <c r="U53" s="264">
        <v>85</v>
      </c>
    </row>
    <row r="54" spans="1:22">
      <c r="A54" s="67" t="s">
        <v>242</v>
      </c>
      <c r="B54" s="84"/>
      <c r="C54" s="85"/>
      <c r="D54" s="86"/>
      <c r="E54" s="87">
        <v>280</v>
      </c>
      <c r="I54" s="79"/>
      <c r="J54" s="80"/>
      <c r="K54" s="81"/>
      <c r="L54" s="82"/>
      <c r="M54" s="83"/>
      <c r="Q54" s="319" t="s">
        <v>268</v>
      </c>
      <c r="R54" s="306" t="s">
        <v>227</v>
      </c>
      <c r="S54" s="265" t="s">
        <v>267</v>
      </c>
      <c r="T54" s="308" t="s">
        <v>223</v>
      </c>
      <c r="U54" s="264">
        <v>85</v>
      </c>
    </row>
    <row r="55" spans="1:22">
      <c r="A55" s="67" t="s">
        <v>243</v>
      </c>
      <c r="B55" s="84"/>
      <c r="C55" s="85"/>
      <c r="D55" s="86"/>
      <c r="E55" s="87">
        <v>2</v>
      </c>
      <c r="I55" s="67" t="s">
        <v>234</v>
      </c>
      <c r="J55" s="80"/>
      <c r="K55" s="81"/>
      <c r="L55" s="82"/>
      <c r="M55" s="83"/>
      <c r="Q55" s="309"/>
      <c r="R55" s="310"/>
      <c r="S55" s="311"/>
      <c r="T55" s="312"/>
      <c r="U55" s="313"/>
    </row>
    <row r="56" spans="1:22">
      <c r="I56" s="72" t="s">
        <v>250</v>
      </c>
      <c r="J56" s="84" t="s">
        <v>145</v>
      </c>
      <c r="K56" s="125" t="s">
        <v>265</v>
      </c>
      <c r="L56" s="89" t="s">
        <v>225</v>
      </c>
      <c r="M56" s="87">
        <v>75</v>
      </c>
      <c r="Q56" s="300" t="s">
        <v>234</v>
      </c>
      <c r="R56" s="310"/>
      <c r="S56" s="311"/>
      <c r="T56" s="312"/>
      <c r="U56" s="313"/>
    </row>
    <row r="57" spans="1:22">
      <c r="I57" s="72" t="s">
        <v>250</v>
      </c>
      <c r="J57" s="84" t="s">
        <v>145</v>
      </c>
      <c r="K57" s="234" t="s">
        <v>269</v>
      </c>
      <c r="L57" s="86" t="s">
        <v>225</v>
      </c>
      <c r="M57" s="87">
        <v>50</v>
      </c>
      <c r="Q57" s="319" t="s">
        <v>270</v>
      </c>
      <c r="R57" s="84" t="s">
        <v>227</v>
      </c>
      <c r="S57" s="237" t="s">
        <v>267</v>
      </c>
      <c r="T57" s="89" t="s">
        <v>223</v>
      </c>
      <c r="U57" s="87">
        <v>85</v>
      </c>
    </row>
    <row r="58" spans="1:22">
      <c r="I58" s="72" t="s">
        <v>250</v>
      </c>
      <c r="J58" s="84" t="s">
        <v>145</v>
      </c>
      <c r="K58" s="234" t="s">
        <v>269</v>
      </c>
      <c r="L58" s="86" t="s">
        <v>225</v>
      </c>
      <c r="M58" s="87">
        <v>50</v>
      </c>
      <c r="Q58" s="305" t="s">
        <v>271</v>
      </c>
      <c r="R58" s="84" t="s">
        <v>227</v>
      </c>
      <c r="S58" s="85" t="s">
        <v>272</v>
      </c>
      <c r="T58" s="86" t="s">
        <v>223</v>
      </c>
      <c r="U58" s="87">
        <v>68</v>
      </c>
    </row>
    <row r="59" spans="1:22">
      <c r="I59" s="72" t="s">
        <v>271</v>
      </c>
      <c r="J59" s="84" t="s">
        <v>100</v>
      </c>
      <c r="K59" s="234" t="s">
        <v>273</v>
      </c>
      <c r="L59" s="86" t="s">
        <v>225</v>
      </c>
      <c r="M59" s="87">
        <v>4</v>
      </c>
      <c r="Q59" s="305" t="s">
        <v>271</v>
      </c>
      <c r="R59" s="84" t="s">
        <v>227</v>
      </c>
      <c r="S59" s="85" t="s">
        <v>272</v>
      </c>
      <c r="T59" s="86" t="s">
        <v>223</v>
      </c>
      <c r="U59" s="87">
        <v>68</v>
      </c>
    </row>
    <row r="60" spans="1:22">
      <c r="I60" s="42"/>
      <c r="J60" s="80"/>
      <c r="K60" s="81"/>
      <c r="L60" s="82"/>
      <c r="M60" s="83"/>
      <c r="Q60" s="305" t="s">
        <v>271</v>
      </c>
      <c r="R60" s="84" t="s">
        <v>227</v>
      </c>
      <c r="S60" s="85" t="s">
        <v>272</v>
      </c>
      <c r="T60" s="86" t="s">
        <v>223</v>
      </c>
      <c r="U60" s="87">
        <v>68</v>
      </c>
    </row>
    <row r="61" spans="1:22">
      <c r="I61" s="42"/>
      <c r="J61" s="80"/>
      <c r="K61" s="81"/>
      <c r="L61" s="82"/>
      <c r="M61" s="83"/>
      <c r="Q61" s="295"/>
      <c r="R61" s="310"/>
      <c r="S61" s="311"/>
      <c r="T61" s="312"/>
      <c r="U61" s="313"/>
    </row>
    <row r="62" spans="1:22">
      <c r="I62" s="67" t="s">
        <v>242</v>
      </c>
      <c r="J62" s="84"/>
      <c r="K62" s="85"/>
      <c r="L62" s="86"/>
      <c r="M62" s="87">
        <v>275</v>
      </c>
      <c r="Q62" s="295"/>
      <c r="R62" s="310"/>
      <c r="S62" s="311"/>
      <c r="T62" s="312"/>
      <c r="U62" s="313"/>
    </row>
    <row r="63" spans="1:22">
      <c r="I63" s="67" t="s">
        <v>243</v>
      </c>
      <c r="J63" s="84"/>
      <c r="K63" s="85"/>
      <c r="L63" s="86"/>
      <c r="M63" s="87">
        <v>6</v>
      </c>
      <c r="Q63" s="300" t="s">
        <v>242</v>
      </c>
      <c r="R63" s="314"/>
      <c r="S63" s="315"/>
      <c r="T63" s="316"/>
      <c r="U63" s="317">
        <f>SUM(U52:U62)</f>
        <v>480</v>
      </c>
    </row>
    <row r="64" spans="1:22">
      <c r="Q64" s="300" t="s">
        <v>243</v>
      </c>
      <c r="R64" s="314"/>
      <c r="S64" s="315"/>
      <c r="T64" s="316"/>
      <c r="U64" s="317">
        <v>7</v>
      </c>
    </row>
    <row r="65" spans="1:20" ht="76.5">
      <c r="A65" s="90"/>
      <c r="B65" s="91"/>
      <c r="C65" s="92" t="s">
        <v>274</v>
      </c>
      <c r="D65" s="103"/>
      <c r="I65" s="90"/>
      <c r="J65" s="91"/>
      <c r="K65" s="92" t="s">
        <v>274</v>
      </c>
      <c r="L65" s="103"/>
      <c r="Q65" s="320"/>
      <c r="R65" s="321"/>
      <c r="S65" s="322" t="s">
        <v>274</v>
      </c>
      <c r="T65" s="323"/>
    </row>
    <row r="66" spans="1:20">
      <c r="A66" s="67" t="s">
        <v>275</v>
      </c>
      <c r="B66" s="73" t="s">
        <v>276</v>
      </c>
      <c r="C66" s="81"/>
      <c r="D66" s="103"/>
      <c r="I66" s="67" t="s">
        <v>275</v>
      </c>
      <c r="J66" s="73" t="s">
        <v>276</v>
      </c>
      <c r="K66" s="81"/>
      <c r="L66" s="103"/>
      <c r="Q66" s="300" t="s">
        <v>275</v>
      </c>
      <c r="R66" s="306" t="s">
        <v>276</v>
      </c>
      <c r="S66" s="311"/>
      <c r="T66" s="323"/>
    </row>
    <row r="67" spans="1:20">
      <c r="A67" s="67" t="s">
        <v>277</v>
      </c>
      <c r="B67" s="73" t="s">
        <v>212</v>
      </c>
      <c r="C67" s="81"/>
      <c r="D67" s="103"/>
      <c r="I67" s="67" t="s">
        <v>277</v>
      </c>
      <c r="J67" s="73" t="s">
        <v>213</v>
      </c>
      <c r="K67" s="81"/>
      <c r="L67" s="103"/>
      <c r="Q67" s="300" t="s">
        <v>277</v>
      </c>
      <c r="R67" s="306" t="s">
        <v>214</v>
      </c>
      <c r="S67" s="311"/>
      <c r="T67" s="323"/>
    </row>
    <row r="68" spans="1:20">
      <c r="A68" s="67" t="s">
        <v>278</v>
      </c>
      <c r="B68" s="73" t="s">
        <v>279</v>
      </c>
      <c r="C68" s="81"/>
      <c r="D68" s="103"/>
      <c r="I68" s="67" t="s">
        <v>278</v>
      </c>
      <c r="J68" s="73" t="s">
        <v>280</v>
      </c>
      <c r="K68" s="81"/>
      <c r="L68" s="103"/>
      <c r="Q68" s="300" t="s">
        <v>278</v>
      </c>
      <c r="R68" s="306" t="s">
        <v>281</v>
      </c>
      <c r="S68" s="311"/>
      <c r="T68" s="323"/>
    </row>
    <row r="69" spans="1:20">
      <c r="A69" s="67" t="s">
        <v>282</v>
      </c>
      <c r="B69" s="73" t="s">
        <v>283</v>
      </c>
      <c r="C69" s="81"/>
      <c r="D69" s="103"/>
      <c r="I69" s="67" t="s">
        <v>282</v>
      </c>
      <c r="J69" s="73" t="s">
        <v>30</v>
      </c>
      <c r="K69" s="81"/>
      <c r="L69" s="103"/>
      <c r="Q69" s="300" t="s">
        <v>282</v>
      </c>
      <c r="R69" s="306" t="s">
        <v>32</v>
      </c>
      <c r="S69" s="311"/>
      <c r="T69" s="323"/>
    </row>
    <row r="70" spans="1:20">
      <c r="A70" s="93"/>
      <c r="B70" s="80"/>
      <c r="C70" s="81"/>
      <c r="D70" s="103"/>
      <c r="I70" s="93"/>
      <c r="J70" s="80"/>
      <c r="K70" s="81"/>
      <c r="L70" s="103"/>
      <c r="Q70" s="324"/>
      <c r="R70" s="310"/>
      <c r="S70" s="311"/>
      <c r="T70" s="323"/>
    </row>
    <row r="71" spans="1:20">
      <c r="A71" s="94" t="s">
        <v>284</v>
      </c>
      <c r="B71" s="94"/>
      <c r="C71" s="94"/>
      <c r="D71" s="103"/>
      <c r="I71" s="94" t="s">
        <v>284</v>
      </c>
      <c r="J71" s="94"/>
      <c r="K71" s="94"/>
      <c r="L71" s="103"/>
      <c r="Q71" s="325" t="s">
        <v>284</v>
      </c>
      <c r="R71" s="325"/>
      <c r="S71" s="325"/>
      <c r="T71" s="323"/>
    </row>
    <row r="72" spans="1:20">
      <c r="A72" s="94"/>
      <c r="B72" s="94" t="s">
        <v>285</v>
      </c>
      <c r="C72" s="94" t="s">
        <v>15</v>
      </c>
      <c r="D72" s="94" t="s">
        <v>5</v>
      </c>
      <c r="I72" s="94"/>
      <c r="J72" s="94" t="s">
        <v>285</v>
      </c>
      <c r="K72" s="94" t="s">
        <v>15</v>
      </c>
      <c r="L72" s="94" t="s">
        <v>5</v>
      </c>
      <c r="Q72" s="325"/>
      <c r="R72" s="325" t="s">
        <v>285</v>
      </c>
      <c r="S72" s="325" t="s">
        <v>15</v>
      </c>
      <c r="T72" s="325" t="s">
        <v>5</v>
      </c>
    </row>
    <row r="73" spans="1:20">
      <c r="A73" s="96" t="s">
        <v>286</v>
      </c>
      <c r="B73" s="96">
        <v>336</v>
      </c>
      <c r="C73" s="96">
        <v>7</v>
      </c>
      <c r="D73" s="96"/>
      <c r="I73" s="96" t="s">
        <v>286</v>
      </c>
      <c r="J73" s="96">
        <v>262</v>
      </c>
      <c r="K73" s="96">
        <v>4</v>
      </c>
      <c r="L73" s="96"/>
      <c r="Q73" s="326" t="s">
        <v>286</v>
      </c>
      <c r="R73" s="326">
        <f>U13</f>
        <v>206</v>
      </c>
      <c r="S73" s="326">
        <v>4</v>
      </c>
      <c r="T73" s="326"/>
    </row>
    <row r="74" spans="1:20">
      <c r="A74" s="96" t="s">
        <v>287</v>
      </c>
      <c r="B74" s="96">
        <v>336</v>
      </c>
      <c r="C74" s="96">
        <v>7</v>
      </c>
      <c r="D74" s="96"/>
      <c r="I74" s="96" t="s">
        <v>287</v>
      </c>
      <c r="J74" s="96">
        <v>296</v>
      </c>
      <c r="K74" s="96">
        <v>4</v>
      </c>
      <c r="L74" s="96"/>
      <c r="Q74" s="326" t="s">
        <v>287</v>
      </c>
      <c r="R74" s="326">
        <f>U29</f>
        <v>196</v>
      </c>
      <c r="S74" s="326">
        <v>4</v>
      </c>
      <c r="T74" s="326"/>
    </row>
    <row r="75" spans="1:20">
      <c r="A75" s="95" t="s">
        <v>288</v>
      </c>
      <c r="B75" s="96">
        <v>147</v>
      </c>
      <c r="C75" s="96">
        <v>4</v>
      </c>
      <c r="D75" s="96"/>
      <c r="I75" s="96" t="s">
        <v>289</v>
      </c>
      <c r="J75" s="96">
        <v>266</v>
      </c>
      <c r="K75" s="96">
        <v>6</v>
      </c>
      <c r="L75" s="96"/>
      <c r="Q75" s="326" t="s">
        <v>289</v>
      </c>
      <c r="R75" s="326">
        <f>U45</f>
        <v>216</v>
      </c>
      <c r="S75" s="326">
        <v>4</v>
      </c>
      <c r="T75" s="326"/>
    </row>
    <row r="76" spans="1:20">
      <c r="A76" s="95" t="s">
        <v>290</v>
      </c>
      <c r="B76" s="96">
        <v>280</v>
      </c>
      <c r="C76" s="96">
        <v>2</v>
      </c>
      <c r="D76" s="96"/>
      <c r="I76" s="95" t="s">
        <v>288</v>
      </c>
      <c r="J76" s="96">
        <v>275</v>
      </c>
      <c r="K76" s="96">
        <v>6</v>
      </c>
      <c r="L76" s="96"/>
      <c r="Q76" s="327" t="s">
        <v>291</v>
      </c>
      <c r="R76" s="326">
        <f>U63</f>
        <v>480</v>
      </c>
      <c r="S76" s="326">
        <v>7</v>
      </c>
      <c r="T76" s="326"/>
    </row>
    <row r="77" spans="1:20">
      <c r="A77" s="96"/>
      <c r="B77" s="94">
        <v>1099</v>
      </c>
      <c r="C77" s="94">
        <v>20</v>
      </c>
      <c r="D77" s="96"/>
      <c r="I77" s="96"/>
      <c r="J77" s="94">
        <v>1099</v>
      </c>
      <c r="K77" s="94">
        <v>20</v>
      </c>
      <c r="L77" s="96"/>
      <c r="Q77" s="326"/>
      <c r="R77" s="325">
        <f>SUM(R73:R76)</f>
        <v>1098</v>
      </c>
      <c r="S77" s="325">
        <v>19</v>
      </c>
      <c r="T77" s="3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4447-0C48-461F-BE30-EC33A8125556}">
  <dimension ref="A1:V107"/>
  <sheetViews>
    <sheetView topLeftCell="J86" workbookViewId="0">
      <selection activeCell="T76" sqref="T76"/>
    </sheetView>
  </sheetViews>
  <sheetFormatPr defaultRowHeight="15"/>
  <cols>
    <col min="1" max="1" width="37.7109375" bestFit="1" customWidth="1"/>
    <col min="2" max="2" width="19.140625" bestFit="1" customWidth="1"/>
    <col min="3" max="3" width="31.7109375" bestFit="1" customWidth="1"/>
    <col min="5" max="5" width="10.140625" customWidth="1"/>
    <col min="7" max="7" width="0" hidden="1" customWidth="1"/>
    <col min="8" max="8" width="2.28515625" customWidth="1"/>
    <col min="9" max="9" width="3.42578125" customWidth="1"/>
    <col min="10" max="10" width="26.5703125" bestFit="1" customWidth="1"/>
    <col min="12" max="12" width="31.7109375" bestFit="1" customWidth="1"/>
    <col min="15" max="15" width="2.7109375" customWidth="1"/>
    <col min="16" max="16" width="2.140625" customWidth="1"/>
    <col min="17" max="17" width="3" customWidth="1"/>
    <col min="19" max="19" width="19.140625" bestFit="1" customWidth="1"/>
    <col min="20" max="20" width="31.7109375" bestFit="1" customWidth="1"/>
  </cols>
  <sheetData>
    <row r="1" spans="1:22">
      <c r="L1" t="s">
        <v>37</v>
      </c>
      <c r="T1" t="s">
        <v>37</v>
      </c>
    </row>
    <row r="2" spans="1:22">
      <c r="A2" t="s">
        <v>34</v>
      </c>
      <c r="B2" t="s">
        <v>292</v>
      </c>
      <c r="C2" t="s">
        <v>293</v>
      </c>
      <c r="D2" t="s">
        <v>37</v>
      </c>
      <c r="J2" t="s">
        <v>32</v>
      </c>
      <c r="K2" t="s">
        <v>292</v>
      </c>
      <c r="L2" t="s">
        <v>294</v>
      </c>
      <c r="R2" t="s">
        <v>33</v>
      </c>
      <c r="S2" t="s">
        <v>292</v>
      </c>
      <c r="T2" t="s">
        <v>295</v>
      </c>
    </row>
    <row r="4" spans="1:22" ht="45.75">
      <c r="A4" s="85"/>
      <c r="B4" s="43" t="s">
        <v>215</v>
      </c>
      <c r="C4" s="65" t="s">
        <v>216</v>
      </c>
      <c r="D4" s="233" t="s">
        <v>217</v>
      </c>
      <c r="E4" s="65" t="s">
        <v>218</v>
      </c>
      <c r="J4" s="85"/>
      <c r="K4" s="43" t="s">
        <v>215</v>
      </c>
      <c r="L4" s="65" t="s">
        <v>216</v>
      </c>
      <c r="M4" s="233" t="s">
        <v>217</v>
      </c>
      <c r="N4" s="65" t="s">
        <v>218</v>
      </c>
      <c r="R4" s="85"/>
      <c r="S4" s="43" t="s">
        <v>215</v>
      </c>
      <c r="T4" s="65" t="s">
        <v>216</v>
      </c>
      <c r="U4" s="233" t="s">
        <v>217</v>
      </c>
      <c r="V4" s="65" t="s">
        <v>218</v>
      </c>
    </row>
    <row r="5" spans="1:22">
      <c r="A5" s="65" t="s">
        <v>296</v>
      </c>
      <c r="B5" s="125"/>
      <c r="C5" s="234"/>
      <c r="D5" s="235"/>
      <c r="E5" s="234"/>
      <c r="J5" s="65" t="s">
        <v>296</v>
      </c>
      <c r="K5" s="125"/>
      <c r="L5" s="234"/>
      <c r="M5" s="235"/>
      <c r="N5" s="234"/>
      <c r="R5" s="65" t="s">
        <v>296</v>
      </c>
      <c r="S5" s="125"/>
      <c r="T5" s="234"/>
      <c r="U5" s="235"/>
      <c r="V5" s="234"/>
    </row>
    <row r="6" spans="1:22">
      <c r="A6" s="234" t="s">
        <v>220</v>
      </c>
      <c r="B6" s="111" t="s">
        <v>249</v>
      </c>
      <c r="C6" s="234" t="s">
        <v>297</v>
      </c>
      <c r="D6" s="115"/>
      <c r="E6" s="114">
        <v>21</v>
      </c>
      <c r="J6" s="234" t="s">
        <v>220</v>
      </c>
      <c r="K6" s="111" t="s">
        <v>249</v>
      </c>
      <c r="L6" s="234" t="s">
        <v>297</v>
      </c>
      <c r="M6" s="115"/>
      <c r="N6" s="254">
        <v>21</v>
      </c>
      <c r="R6" s="234" t="s">
        <v>220</v>
      </c>
      <c r="S6" s="111" t="s">
        <v>249</v>
      </c>
      <c r="T6" s="234" t="s">
        <v>297</v>
      </c>
      <c r="U6" s="115"/>
      <c r="V6" s="114">
        <v>21</v>
      </c>
    </row>
    <row r="7" spans="1:22" ht="30.75">
      <c r="A7" s="234" t="s">
        <v>226</v>
      </c>
      <c r="B7" s="111" t="s">
        <v>124</v>
      </c>
      <c r="C7" s="255" t="s">
        <v>298</v>
      </c>
      <c r="D7" s="117"/>
      <c r="E7" s="114">
        <v>118</v>
      </c>
      <c r="J7" s="234" t="s">
        <v>226</v>
      </c>
      <c r="K7" s="111" t="s">
        <v>124</v>
      </c>
      <c r="L7" s="255" t="s">
        <v>299</v>
      </c>
      <c r="M7" s="117"/>
      <c r="N7" s="254">
        <v>96</v>
      </c>
      <c r="R7" s="234" t="s">
        <v>226</v>
      </c>
      <c r="S7" s="111" t="s">
        <v>124</v>
      </c>
      <c r="T7" s="255" t="s">
        <v>300</v>
      </c>
      <c r="U7" s="117"/>
      <c r="V7" s="114">
        <v>157</v>
      </c>
    </row>
    <row r="8" spans="1:22" ht="30.75">
      <c r="A8" s="234" t="s">
        <v>232</v>
      </c>
      <c r="B8" s="111" t="s">
        <v>124</v>
      </c>
      <c r="C8" s="255" t="s">
        <v>298</v>
      </c>
      <c r="D8" s="117"/>
      <c r="E8" s="114">
        <v>118</v>
      </c>
      <c r="J8" s="234" t="s">
        <v>232</v>
      </c>
      <c r="K8" s="111" t="s">
        <v>124</v>
      </c>
      <c r="L8" s="255" t="s">
        <v>301</v>
      </c>
      <c r="M8" s="117"/>
      <c r="N8" s="254">
        <v>98</v>
      </c>
      <c r="R8" s="234" t="s">
        <v>232</v>
      </c>
      <c r="S8" s="111" t="s">
        <v>145</v>
      </c>
      <c r="T8" s="255" t="s">
        <v>302</v>
      </c>
      <c r="U8" s="117"/>
      <c r="V8" s="114">
        <v>150</v>
      </c>
    </row>
    <row r="9" spans="1:22">
      <c r="A9" s="234"/>
      <c r="B9" s="84"/>
      <c r="C9" s="85"/>
      <c r="D9" s="86"/>
      <c r="E9" s="85"/>
      <c r="J9" s="234"/>
      <c r="K9" s="84"/>
      <c r="L9" s="85"/>
      <c r="M9" s="86"/>
      <c r="N9" s="85"/>
      <c r="R9" s="234"/>
      <c r="S9" s="84"/>
      <c r="T9" s="85"/>
      <c r="U9" s="86"/>
      <c r="V9" s="85"/>
    </row>
    <row r="10" spans="1:22">
      <c r="A10" s="65" t="s">
        <v>234</v>
      </c>
      <c r="B10" s="84"/>
      <c r="C10" s="85"/>
      <c r="D10" s="86"/>
      <c r="E10" s="85"/>
      <c r="J10" s="65" t="s">
        <v>234</v>
      </c>
      <c r="K10" s="84"/>
      <c r="L10" s="85"/>
      <c r="M10" s="86"/>
      <c r="N10" s="85"/>
      <c r="R10" s="65" t="s">
        <v>234</v>
      </c>
      <c r="S10" s="84"/>
      <c r="T10" s="85"/>
      <c r="U10" s="86"/>
      <c r="V10" s="85"/>
    </row>
    <row r="11" spans="1:22">
      <c r="A11" s="234" t="s">
        <v>303</v>
      </c>
      <c r="B11" s="111"/>
      <c r="C11" s="116"/>
      <c r="D11" s="117"/>
      <c r="E11" s="114"/>
      <c r="J11" s="234" t="s">
        <v>303</v>
      </c>
      <c r="K11" s="111"/>
      <c r="L11" s="116"/>
      <c r="M11" s="117"/>
      <c r="N11" s="114"/>
      <c r="R11" s="234" t="s">
        <v>303</v>
      </c>
      <c r="S11" s="111" t="s">
        <v>249</v>
      </c>
      <c r="T11" s="255" t="s">
        <v>304</v>
      </c>
      <c r="U11" s="117"/>
      <c r="V11" s="114">
        <v>70</v>
      </c>
    </row>
    <row r="12" spans="1:22">
      <c r="A12" s="234" t="s">
        <v>303</v>
      </c>
      <c r="B12" s="111"/>
      <c r="C12" s="116"/>
      <c r="D12" s="117"/>
      <c r="E12" s="114"/>
      <c r="J12" s="234" t="s">
        <v>303</v>
      </c>
      <c r="K12" s="111"/>
      <c r="L12" s="116"/>
      <c r="M12" s="117"/>
      <c r="N12" s="114"/>
      <c r="R12" s="234" t="s">
        <v>303</v>
      </c>
      <c r="S12" s="111"/>
      <c r="T12" s="116"/>
      <c r="U12" s="117"/>
      <c r="V12" s="114"/>
    </row>
    <row r="13" spans="1:22">
      <c r="A13" s="234" t="s">
        <v>305</v>
      </c>
      <c r="B13" s="84"/>
      <c r="C13" s="85"/>
      <c r="D13" s="86"/>
      <c r="E13" s="85"/>
      <c r="J13" s="234" t="s">
        <v>305</v>
      </c>
      <c r="K13" s="84"/>
      <c r="L13" s="85"/>
      <c r="M13" s="86"/>
      <c r="N13" s="85"/>
      <c r="R13" s="234" t="s">
        <v>305</v>
      </c>
      <c r="S13" s="84"/>
      <c r="T13" s="85"/>
      <c r="U13" s="86"/>
      <c r="V13" s="85"/>
    </row>
    <row r="14" spans="1:22">
      <c r="A14" s="234" t="s">
        <v>306</v>
      </c>
      <c r="B14" s="84"/>
      <c r="C14" s="85"/>
      <c r="D14" s="86"/>
      <c r="E14" s="85"/>
      <c r="J14" s="234" t="s">
        <v>306</v>
      </c>
      <c r="K14" s="84" t="s">
        <v>145</v>
      </c>
      <c r="L14" s="234" t="s">
        <v>307</v>
      </c>
      <c r="M14" s="86"/>
      <c r="N14" s="234">
        <v>88</v>
      </c>
      <c r="R14" s="234" t="s">
        <v>306</v>
      </c>
      <c r="S14" s="84" t="s">
        <v>145</v>
      </c>
      <c r="T14" s="234" t="s">
        <v>308</v>
      </c>
      <c r="U14" s="86"/>
      <c r="V14" s="85">
        <v>28</v>
      </c>
    </row>
    <row r="15" spans="1:22">
      <c r="A15" s="234" t="s">
        <v>309</v>
      </c>
      <c r="B15" s="84"/>
      <c r="C15" s="85"/>
      <c r="D15" s="86"/>
      <c r="E15" s="85"/>
      <c r="J15" s="234" t="s">
        <v>309</v>
      </c>
      <c r="K15" s="84"/>
      <c r="L15" s="85"/>
      <c r="M15" s="86"/>
      <c r="N15" s="85"/>
      <c r="R15" s="234" t="s">
        <v>309</v>
      </c>
      <c r="S15" s="84"/>
      <c r="T15" s="85"/>
      <c r="U15" s="86"/>
      <c r="V15" s="85"/>
    </row>
    <row r="16" spans="1:22">
      <c r="A16" s="234" t="s">
        <v>309</v>
      </c>
      <c r="B16" s="84"/>
      <c r="C16" s="85"/>
      <c r="D16" s="86"/>
      <c r="E16" s="85"/>
      <c r="J16" s="234" t="s">
        <v>309</v>
      </c>
      <c r="K16" s="84"/>
      <c r="L16" s="85"/>
      <c r="M16" s="86"/>
      <c r="N16" s="85"/>
      <c r="R16" s="234" t="s">
        <v>309</v>
      </c>
      <c r="S16" s="84"/>
      <c r="T16" s="85"/>
      <c r="U16" s="86"/>
      <c r="V16" s="85"/>
    </row>
    <row r="17" spans="1:22">
      <c r="A17" s="234" t="s">
        <v>310</v>
      </c>
      <c r="B17" s="84"/>
      <c r="C17" s="85"/>
      <c r="D17" s="86"/>
      <c r="E17" s="85"/>
      <c r="J17" s="234" t="s">
        <v>310</v>
      </c>
      <c r="K17" s="84" t="s">
        <v>145</v>
      </c>
      <c r="L17" s="234" t="s">
        <v>311</v>
      </c>
      <c r="M17" s="86"/>
      <c r="N17" s="234">
        <v>54</v>
      </c>
      <c r="R17" s="234" t="s">
        <v>310</v>
      </c>
      <c r="S17" s="84" t="s">
        <v>145</v>
      </c>
      <c r="T17" s="234" t="s">
        <v>312</v>
      </c>
      <c r="U17" s="86"/>
      <c r="V17" s="85">
        <v>52</v>
      </c>
    </row>
    <row r="18" spans="1:22">
      <c r="A18" s="234" t="s">
        <v>235</v>
      </c>
      <c r="B18" s="84"/>
      <c r="C18" s="85"/>
      <c r="D18" s="86"/>
      <c r="E18" s="85"/>
      <c r="J18" s="234" t="s">
        <v>235</v>
      </c>
      <c r="K18" s="84" t="s">
        <v>145</v>
      </c>
      <c r="L18" s="234" t="s">
        <v>313</v>
      </c>
      <c r="M18" s="86"/>
      <c r="N18" s="234">
        <v>47</v>
      </c>
      <c r="R18" s="234" t="s">
        <v>235</v>
      </c>
      <c r="S18" s="84" t="s">
        <v>145</v>
      </c>
      <c r="T18" s="234" t="s">
        <v>314</v>
      </c>
      <c r="U18" s="86"/>
      <c r="V18" s="85">
        <v>25</v>
      </c>
    </row>
    <row r="19" spans="1:22">
      <c r="A19" s="234" t="s">
        <v>240</v>
      </c>
      <c r="B19" s="84"/>
      <c r="C19" s="234" t="s">
        <v>315</v>
      </c>
      <c r="D19" s="86"/>
      <c r="E19" s="85">
        <v>68</v>
      </c>
      <c r="J19" s="234" t="s">
        <v>240</v>
      </c>
      <c r="K19" s="84" t="s">
        <v>249</v>
      </c>
      <c r="L19" s="234" t="s">
        <v>316</v>
      </c>
      <c r="M19" s="86"/>
      <c r="N19" s="234">
        <v>14</v>
      </c>
      <c r="R19" s="234" t="s">
        <v>240</v>
      </c>
      <c r="S19" s="84"/>
      <c r="T19" s="234" t="s">
        <v>317</v>
      </c>
      <c r="U19" s="86"/>
      <c r="V19" s="85">
        <v>22</v>
      </c>
    </row>
    <row r="20" spans="1:22">
      <c r="A20" s="234" t="s">
        <v>240</v>
      </c>
      <c r="B20" s="84"/>
      <c r="C20" s="234" t="s">
        <v>315</v>
      </c>
      <c r="D20" s="86"/>
      <c r="E20" s="85">
        <v>68</v>
      </c>
      <c r="J20" s="234" t="s">
        <v>240</v>
      </c>
      <c r="K20" s="84"/>
      <c r="L20" s="85"/>
      <c r="M20" s="86"/>
      <c r="N20" s="85"/>
      <c r="R20" s="234" t="s">
        <v>240</v>
      </c>
      <c r="S20" s="84"/>
      <c r="T20" s="85"/>
      <c r="U20" s="86"/>
      <c r="V20" s="85"/>
    </row>
    <row r="21" spans="1:22">
      <c r="A21" s="234" t="s">
        <v>240</v>
      </c>
      <c r="B21" s="84"/>
      <c r="C21" s="85"/>
      <c r="D21" s="86"/>
      <c r="E21" s="85"/>
      <c r="J21" s="234" t="s">
        <v>240</v>
      </c>
      <c r="K21" s="84"/>
      <c r="L21" s="85"/>
      <c r="M21" s="86"/>
      <c r="N21" s="85"/>
      <c r="R21" s="234" t="s">
        <v>240</v>
      </c>
      <c r="S21" s="84"/>
      <c r="T21" s="85"/>
      <c r="U21" s="86"/>
      <c r="V21" s="85"/>
    </row>
    <row r="22" spans="1:22">
      <c r="A22" s="234" t="s">
        <v>240</v>
      </c>
      <c r="B22" s="84"/>
      <c r="C22" s="85"/>
      <c r="D22" s="86"/>
      <c r="E22" s="85"/>
      <c r="J22" s="234" t="s">
        <v>240</v>
      </c>
      <c r="K22" s="84"/>
      <c r="L22" s="85"/>
      <c r="M22" s="86"/>
      <c r="N22" s="85"/>
      <c r="R22" s="234" t="s">
        <v>240</v>
      </c>
      <c r="S22" s="84"/>
      <c r="T22" s="85"/>
      <c r="U22" s="86"/>
      <c r="V22" s="85"/>
    </row>
    <row r="23" spans="1:22">
      <c r="A23" s="234" t="s">
        <v>240</v>
      </c>
      <c r="B23" s="84"/>
      <c r="C23" s="85"/>
      <c r="D23" s="86"/>
      <c r="E23" s="85"/>
      <c r="J23" s="234" t="s">
        <v>240</v>
      </c>
      <c r="K23" s="84"/>
      <c r="L23" s="85"/>
      <c r="M23" s="86"/>
      <c r="N23" s="85"/>
      <c r="R23" s="234" t="s">
        <v>240</v>
      </c>
      <c r="S23" s="84"/>
      <c r="T23" s="85"/>
      <c r="U23" s="86"/>
      <c r="V23" s="85"/>
    </row>
    <row r="24" spans="1:22">
      <c r="A24" s="85"/>
      <c r="B24" s="84"/>
      <c r="C24" s="85"/>
      <c r="D24" s="86"/>
      <c r="E24" s="85"/>
      <c r="J24" s="85"/>
      <c r="K24" s="84"/>
      <c r="L24" s="85"/>
      <c r="M24" s="86"/>
      <c r="N24" s="85"/>
      <c r="R24" s="85"/>
      <c r="S24" s="84"/>
      <c r="T24" s="85"/>
      <c r="U24" s="86"/>
      <c r="V24" s="85"/>
    </row>
    <row r="25" spans="1:22">
      <c r="A25" s="85"/>
      <c r="B25" s="84"/>
      <c r="C25" s="85"/>
      <c r="D25" s="86"/>
      <c r="E25" s="85"/>
      <c r="J25" s="85"/>
      <c r="K25" s="84"/>
      <c r="L25" s="85"/>
      <c r="M25" s="86"/>
      <c r="N25" s="85"/>
      <c r="R25" s="85"/>
      <c r="S25" s="84"/>
      <c r="T25" s="85"/>
      <c r="U25" s="86"/>
      <c r="V25" s="85"/>
    </row>
    <row r="26" spans="1:22">
      <c r="A26" s="65" t="s">
        <v>242</v>
      </c>
      <c r="B26" s="84"/>
      <c r="C26" s="85"/>
      <c r="D26" s="86"/>
      <c r="E26" s="85">
        <f>SUM(E6:E25)</f>
        <v>393</v>
      </c>
      <c r="J26" s="65" t="s">
        <v>242</v>
      </c>
      <c r="K26" s="84"/>
      <c r="L26" s="85"/>
      <c r="M26" s="86"/>
      <c r="N26" s="85">
        <f>SUM(N6:N25)</f>
        <v>418</v>
      </c>
      <c r="R26" s="65" t="s">
        <v>242</v>
      </c>
      <c r="S26" s="84"/>
      <c r="T26" s="85"/>
      <c r="U26" s="86"/>
      <c r="V26" s="85">
        <f>SUM(V6:V25)</f>
        <v>525</v>
      </c>
    </row>
    <row r="27" spans="1:22">
      <c r="A27" s="65" t="s">
        <v>318</v>
      </c>
      <c r="B27" s="84"/>
      <c r="C27" s="85"/>
      <c r="D27" s="86"/>
      <c r="E27" s="85">
        <v>3</v>
      </c>
      <c r="J27" s="65" t="s">
        <v>318</v>
      </c>
      <c r="K27" s="84"/>
      <c r="L27" s="85"/>
      <c r="M27" s="86"/>
      <c r="N27" s="85">
        <v>7</v>
      </c>
      <c r="R27" s="65" t="s">
        <v>318</v>
      </c>
      <c r="S27" s="84"/>
      <c r="T27" s="85"/>
      <c r="U27" s="86"/>
      <c r="V27" s="85">
        <v>7</v>
      </c>
    </row>
    <row r="29" spans="1:22" ht="45.75">
      <c r="A29" s="85"/>
      <c r="B29" s="43" t="s">
        <v>215</v>
      </c>
      <c r="C29" s="65" t="s">
        <v>216</v>
      </c>
      <c r="D29" s="233" t="s">
        <v>217</v>
      </c>
      <c r="E29" s="65" t="s">
        <v>218</v>
      </c>
      <c r="J29" s="85"/>
      <c r="K29" s="43" t="s">
        <v>215</v>
      </c>
      <c r="L29" s="65" t="s">
        <v>216</v>
      </c>
      <c r="M29" s="233" t="s">
        <v>217</v>
      </c>
      <c r="N29" s="65" t="s">
        <v>218</v>
      </c>
      <c r="R29" s="85"/>
      <c r="S29" s="43" t="s">
        <v>215</v>
      </c>
      <c r="T29" s="65" t="s">
        <v>216</v>
      </c>
      <c r="U29" s="233" t="s">
        <v>217</v>
      </c>
      <c r="V29" s="65" t="s">
        <v>218</v>
      </c>
    </row>
    <row r="30" spans="1:22">
      <c r="A30" s="65" t="s">
        <v>296</v>
      </c>
      <c r="B30" s="125"/>
      <c r="C30" s="234"/>
      <c r="D30" s="235"/>
      <c r="E30" s="234"/>
      <c r="J30" s="65" t="s">
        <v>296</v>
      </c>
      <c r="K30" s="125"/>
      <c r="L30" s="234"/>
      <c r="M30" s="235"/>
      <c r="N30" s="234"/>
      <c r="R30" s="65" t="s">
        <v>296</v>
      </c>
      <c r="S30" s="125"/>
      <c r="T30" s="234"/>
      <c r="U30" s="235"/>
      <c r="V30" s="234"/>
    </row>
    <row r="31" spans="1:22">
      <c r="A31" s="234" t="s">
        <v>220</v>
      </c>
      <c r="B31" s="111" t="s">
        <v>249</v>
      </c>
      <c r="C31" s="234" t="s">
        <v>297</v>
      </c>
      <c r="D31" s="115"/>
      <c r="E31" s="114">
        <v>21</v>
      </c>
      <c r="J31" s="234" t="s">
        <v>220</v>
      </c>
      <c r="K31" s="111" t="s">
        <v>249</v>
      </c>
      <c r="L31" s="234" t="s">
        <v>297</v>
      </c>
      <c r="M31" s="115"/>
      <c r="N31" s="114">
        <v>21</v>
      </c>
      <c r="R31" s="234" t="s">
        <v>220</v>
      </c>
      <c r="S31" s="111" t="s">
        <v>249</v>
      </c>
      <c r="T31" s="234" t="s">
        <v>297</v>
      </c>
      <c r="U31" s="115"/>
      <c r="V31" s="114">
        <v>21</v>
      </c>
    </row>
    <row r="32" spans="1:22">
      <c r="A32" s="234" t="s">
        <v>226</v>
      </c>
      <c r="B32" s="111" t="s">
        <v>124</v>
      </c>
      <c r="C32" s="255" t="s">
        <v>319</v>
      </c>
      <c r="D32" s="117"/>
      <c r="E32" s="114">
        <v>85</v>
      </c>
      <c r="J32" s="234" t="s">
        <v>226</v>
      </c>
      <c r="K32" s="111" t="s">
        <v>124</v>
      </c>
      <c r="L32" s="255" t="s">
        <v>320</v>
      </c>
      <c r="M32" s="117"/>
      <c r="N32" s="114">
        <v>90</v>
      </c>
      <c r="R32" s="234" t="s">
        <v>226</v>
      </c>
      <c r="S32" s="111" t="s">
        <v>249</v>
      </c>
      <c r="T32" s="255" t="s">
        <v>304</v>
      </c>
      <c r="U32" s="117"/>
      <c r="V32" s="114">
        <v>70</v>
      </c>
    </row>
    <row r="33" spans="1:22">
      <c r="A33" s="234" t="s">
        <v>232</v>
      </c>
      <c r="B33" s="111" t="s">
        <v>124</v>
      </c>
      <c r="C33" s="255" t="s">
        <v>319</v>
      </c>
      <c r="D33" s="117"/>
      <c r="E33" s="114">
        <v>85</v>
      </c>
      <c r="J33" s="234" t="s">
        <v>232</v>
      </c>
      <c r="K33" s="111" t="s">
        <v>124</v>
      </c>
      <c r="L33" s="255" t="s">
        <v>320</v>
      </c>
      <c r="M33" s="117"/>
      <c r="N33" s="114">
        <v>90</v>
      </c>
      <c r="R33" s="234" t="s">
        <v>232</v>
      </c>
      <c r="S33" s="111" t="s">
        <v>249</v>
      </c>
      <c r="T33" s="255" t="s">
        <v>304</v>
      </c>
      <c r="U33" s="117"/>
      <c r="V33" s="114">
        <v>70</v>
      </c>
    </row>
    <row r="34" spans="1:22">
      <c r="A34" s="234"/>
      <c r="B34" s="84"/>
      <c r="C34" s="85"/>
      <c r="D34" s="86"/>
      <c r="E34" s="85"/>
      <c r="J34" s="234"/>
      <c r="K34" s="84"/>
      <c r="L34" s="85"/>
      <c r="M34" s="86"/>
      <c r="N34" s="85"/>
      <c r="R34" s="234"/>
      <c r="S34" s="84"/>
      <c r="T34" s="85"/>
      <c r="U34" s="86"/>
      <c r="V34" s="85"/>
    </row>
    <row r="35" spans="1:22">
      <c r="A35" s="65" t="s">
        <v>234</v>
      </c>
      <c r="B35" s="84"/>
      <c r="C35" s="85"/>
      <c r="D35" s="86"/>
      <c r="E35" s="85"/>
      <c r="J35" s="65" t="s">
        <v>234</v>
      </c>
      <c r="K35" s="84"/>
      <c r="L35" s="85"/>
      <c r="M35" s="86"/>
      <c r="N35" s="85"/>
      <c r="R35" s="65" t="s">
        <v>234</v>
      </c>
      <c r="S35" s="84"/>
      <c r="T35" s="85"/>
      <c r="U35" s="86"/>
      <c r="V35" s="85"/>
    </row>
    <row r="36" spans="1:22">
      <c r="A36" s="234" t="s">
        <v>303</v>
      </c>
      <c r="B36" s="111"/>
      <c r="C36" s="116"/>
      <c r="D36" s="117"/>
      <c r="E36" s="114"/>
      <c r="J36" s="234" t="s">
        <v>303</v>
      </c>
      <c r="K36" s="111"/>
      <c r="L36" s="116"/>
      <c r="M36" s="117"/>
      <c r="N36" s="114"/>
      <c r="R36" s="234" t="s">
        <v>303</v>
      </c>
      <c r="S36" s="111"/>
      <c r="T36" s="116"/>
      <c r="U36" s="117"/>
      <c r="V36" s="114"/>
    </row>
    <row r="37" spans="1:22">
      <c r="A37" s="234" t="s">
        <v>303</v>
      </c>
      <c r="B37" s="111"/>
      <c r="C37" s="116"/>
      <c r="D37" s="117"/>
      <c r="E37" s="114"/>
      <c r="J37" s="234" t="s">
        <v>303</v>
      </c>
      <c r="K37" s="111"/>
      <c r="L37" s="116"/>
      <c r="M37" s="117"/>
      <c r="N37" s="114"/>
      <c r="R37" s="234" t="s">
        <v>303</v>
      </c>
      <c r="S37" s="111"/>
      <c r="T37" s="116"/>
      <c r="U37" s="117"/>
      <c r="V37" s="114"/>
    </row>
    <row r="38" spans="1:22">
      <c r="A38" s="234" t="s">
        <v>305</v>
      </c>
      <c r="B38" s="84"/>
      <c r="C38" s="85"/>
      <c r="D38" s="86"/>
      <c r="E38" s="85"/>
      <c r="J38" s="234" t="s">
        <v>305</v>
      </c>
      <c r="K38" s="84"/>
      <c r="L38" s="85"/>
      <c r="M38" s="86"/>
      <c r="N38" s="85"/>
      <c r="R38" s="234" t="s">
        <v>305</v>
      </c>
      <c r="S38" s="84"/>
      <c r="T38" s="85"/>
      <c r="U38" s="86"/>
      <c r="V38" s="85"/>
    </row>
    <row r="39" spans="1:22">
      <c r="A39" s="234" t="s">
        <v>306</v>
      </c>
      <c r="B39" s="84" t="s">
        <v>145</v>
      </c>
      <c r="C39" s="85"/>
      <c r="D39" s="86"/>
      <c r="E39" s="85">
        <v>83</v>
      </c>
      <c r="J39" s="234" t="s">
        <v>306</v>
      </c>
      <c r="K39" s="84" t="s">
        <v>145</v>
      </c>
      <c r="L39" s="234" t="s">
        <v>307</v>
      </c>
      <c r="M39" s="86"/>
      <c r="N39" s="85">
        <v>88</v>
      </c>
      <c r="R39" s="234" t="s">
        <v>306</v>
      </c>
      <c r="S39" s="84" t="s">
        <v>145</v>
      </c>
      <c r="T39" s="234" t="s">
        <v>308</v>
      </c>
      <c r="U39" s="86"/>
      <c r="V39" s="85">
        <v>28</v>
      </c>
    </row>
    <row r="40" spans="1:22">
      <c r="A40" s="234" t="s">
        <v>309</v>
      </c>
      <c r="B40" s="84"/>
      <c r="C40" s="85"/>
      <c r="D40" s="86"/>
      <c r="E40" s="85"/>
      <c r="J40" s="234" t="s">
        <v>309</v>
      </c>
      <c r="K40" s="84"/>
      <c r="L40" s="234"/>
      <c r="M40" s="86"/>
      <c r="N40" s="85"/>
      <c r="R40" s="234" t="s">
        <v>309</v>
      </c>
      <c r="S40" s="84"/>
      <c r="T40" s="85"/>
      <c r="U40" s="86"/>
      <c r="V40" s="85"/>
    </row>
    <row r="41" spans="1:22">
      <c r="A41" s="234" t="s">
        <v>309</v>
      </c>
      <c r="B41" s="84"/>
      <c r="C41" s="85"/>
      <c r="D41" s="86"/>
      <c r="E41" s="85"/>
      <c r="J41" s="234" t="s">
        <v>309</v>
      </c>
      <c r="K41" s="84"/>
      <c r="L41" s="85"/>
      <c r="M41" s="86"/>
      <c r="N41" s="85"/>
      <c r="R41" s="234" t="s">
        <v>309</v>
      </c>
      <c r="S41" s="84"/>
      <c r="T41" s="85"/>
      <c r="U41" s="86"/>
      <c r="V41" s="85"/>
    </row>
    <row r="42" spans="1:22">
      <c r="A42" s="234" t="s">
        <v>310</v>
      </c>
      <c r="B42" s="84"/>
      <c r="C42" s="85"/>
      <c r="D42" s="86"/>
      <c r="E42" s="85"/>
      <c r="J42" s="234" t="s">
        <v>310</v>
      </c>
      <c r="K42" s="84" t="s">
        <v>145</v>
      </c>
      <c r="L42" s="234" t="s">
        <v>311</v>
      </c>
      <c r="M42" s="86"/>
      <c r="N42" s="85">
        <v>54</v>
      </c>
      <c r="R42" s="234" t="s">
        <v>310</v>
      </c>
      <c r="S42" s="84" t="s">
        <v>145</v>
      </c>
      <c r="T42" s="85"/>
      <c r="U42" s="86"/>
      <c r="V42" s="85"/>
    </row>
    <row r="43" spans="1:22">
      <c r="A43" s="234" t="s">
        <v>235</v>
      </c>
      <c r="B43" s="84"/>
      <c r="C43" s="85"/>
      <c r="D43" s="86"/>
      <c r="E43" s="85"/>
      <c r="J43" s="234" t="s">
        <v>235</v>
      </c>
      <c r="K43" s="84" t="s">
        <v>145</v>
      </c>
      <c r="L43" s="234" t="s">
        <v>313</v>
      </c>
      <c r="M43" s="86"/>
      <c r="N43" s="85">
        <v>47</v>
      </c>
      <c r="R43" s="234" t="s">
        <v>235</v>
      </c>
      <c r="S43" s="84" t="s">
        <v>145</v>
      </c>
      <c r="T43" s="234" t="s">
        <v>314</v>
      </c>
      <c r="U43" s="86"/>
      <c r="V43" s="85">
        <v>25</v>
      </c>
    </row>
    <row r="44" spans="1:22">
      <c r="A44" s="234" t="s">
        <v>240</v>
      </c>
      <c r="B44" s="84"/>
      <c r="C44" s="85"/>
      <c r="D44" s="86"/>
      <c r="E44" s="85"/>
      <c r="J44" s="234" t="s">
        <v>240</v>
      </c>
      <c r="K44" s="84"/>
      <c r="L44" s="85"/>
      <c r="M44" s="86"/>
      <c r="N44" s="85"/>
      <c r="R44" s="234" t="s">
        <v>240</v>
      </c>
      <c r="S44" s="84"/>
      <c r="T44" s="85"/>
      <c r="U44" s="86"/>
      <c r="V44" s="85"/>
    </row>
    <row r="45" spans="1:22">
      <c r="A45" s="234" t="s">
        <v>240</v>
      </c>
      <c r="B45" s="84"/>
      <c r="C45" s="85"/>
      <c r="D45" s="86"/>
      <c r="E45" s="85"/>
      <c r="J45" s="234" t="s">
        <v>240</v>
      </c>
      <c r="K45" s="84"/>
      <c r="L45" s="85"/>
      <c r="M45" s="86"/>
      <c r="N45" s="85"/>
      <c r="R45" s="234" t="s">
        <v>240</v>
      </c>
      <c r="S45" s="84"/>
      <c r="T45" s="85"/>
      <c r="U45" s="86"/>
      <c r="V45" s="85"/>
    </row>
    <row r="46" spans="1:22">
      <c r="A46" s="234" t="s">
        <v>240</v>
      </c>
      <c r="B46" s="84"/>
      <c r="C46" s="85"/>
      <c r="D46" s="86"/>
      <c r="E46" s="85"/>
      <c r="J46" s="234" t="s">
        <v>240</v>
      </c>
      <c r="K46" s="84"/>
      <c r="L46" s="85"/>
      <c r="M46" s="86"/>
      <c r="N46" s="85"/>
      <c r="R46" s="234" t="s">
        <v>240</v>
      </c>
      <c r="S46" s="84"/>
      <c r="T46" s="85"/>
      <c r="U46" s="86"/>
      <c r="V46" s="85"/>
    </row>
    <row r="47" spans="1:22">
      <c r="A47" s="234" t="s">
        <v>240</v>
      </c>
      <c r="B47" s="84"/>
      <c r="C47" s="85"/>
      <c r="D47" s="86"/>
      <c r="E47" s="85"/>
      <c r="J47" s="234" t="s">
        <v>240</v>
      </c>
      <c r="K47" s="84"/>
      <c r="L47" s="85"/>
      <c r="M47" s="86"/>
      <c r="N47" s="85"/>
      <c r="R47" s="234" t="s">
        <v>240</v>
      </c>
      <c r="S47" s="84"/>
      <c r="T47" s="85"/>
      <c r="U47" s="86"/>
      <c r="V47" s="85"/>
    </row>
    <row r="48" spans="1:22">
      <c r="A48" s="234" t="s">
        <v>240</v>
      </c>
      <c r="B48" s="84"/>
      <c r="C48" s="85"/>
      <c r="D48" s="86"/>
      <c r="E48" s="85"/>
      <c r="J48" s="234" t="s">
        <v>240</v>
      </c>
      <c r="K48" s="84"/>
      <c r="L48" s="85"/>
      <c r="M48" s="86"/>
      <c r="N48" s="85"/>
      <c r="R48" s="234" t="s">
        <v>240</v>
      </c>
      <c r="S48" s="84"/>
      <c r="T48" s="85"/>
      <c r="U48" s="86"/>
      <c r="V48" s="85"/>
    </row>
    <row r="49" spans="1:22">
      <c r="A49" s="85"/>
      <c r="B49" s="84"/>
      <c r="C49" s="85"/>
      <c r="D49" s="86"/>
      <c r="E49" s="85"/>
      <c r="J49" s="85"/>
      <c r="K49" s="84"/>
      <c r="L49" s="85"/>
      <c r="M49" s="86"/>
      <c r="N49" s="85"/>
      <c r="R49" s="85"/>
      <c r="S49" s="84"/>
      <c r="T49" s="85"/>
      <c r="U49" s="86"/>
      <c r="V49" s="85"/>
    </row>
    <row r="50" spans="1:22">
      <c r="A50" s="85"/>
      <c r="B50" s="84"/>
      <c r="C50" s="85"/>
      <c r="D50" s="86"/>
      <c r="E50" s="85"/>
      <c r="J50" s="85"/>
      <c r="K50" s="84"/>
      <c r="L50" s="85"/>
      <c r="M50" s="86"/>
      <c r="N50" s="85"/>
      <c r="R50" s="85"/>
      <c r="S50" s="84"/>
      <c r="T50" s="85"/>
      <c r="U50" s="86"/>
      <c r="V50" s="85"/>
    </row>
    <row r="51" spans="1:22">
      <c r="A51" s="65" t="s">
        <v>242</v>
      </c>
      <c r="B51" s="84"/>
      <c r="C51" s="85"/>
      <c r="D51" s="86"/>
      <c r="E51" s="85">
        <f>SUM(E31:E50)</f>
        <v>274</v>
      </c>
      <c r="J51" s="65" t="s">
        <v>242</v>
      </c>
      <c r="K51" s="84"/>
      <c r="L51" s="85"/>
      <c r="M51" s="86"/>
      <c r="N51" s="85">
        <f>SUM(N31:N50)</f>
        <v>390</v>
      </c>
      <c r="R51" s="65" t="s">
        <v>242</v>
      </c>
      <c r="S51" s="84"/>
      <c r="T51" s="85"/>
      <c r="U51" s="86"/>
      <c r="V51" s="85">
        <f>SUM(V31:V50)</f>
        <v>214</v>
      </c>
    </row>
    <row r="52" spans="1:22">
      <c r="A52" s="65" t="s">
        <v>318</v>
      </c>
      <c r="B52" s="84"/>
      <c r="C52" s="85"/>
      <c r="D52" s="86"/>
      <c r="E52" s="85">
        <v>4</v>
      </c>
      <c r="J52" s="65" t="s">
        <v>318</v>
      </c>
      <c r="K52" s="84"/>
      <c r="L52" s="85"/>
      <c r="M52" s="86"/>
      <c r="N52" s="85">
        <v>6</v>
      </c>
      <c r="R52" s="65" t="s">
        <v>318</v>
      </c>
      <c r="S52" s="84"/>
      <c r="T52" s="85"/>
      <c r="U52" s="86"/>
      <c r="V52" s="85">
        <v>5</v>
      </c>
    </row>
    <row r="54" spans="1:22" ht="45.75">
      <c r="A54" s="85"/>
      <c r="B54" s="43" t="s">
        <v>215</v>
      </c>
      <c r="C54" s="65" t="s">
        <v>216</v>
      </c>
      <c r="D54" s="233" t="s">
        <v>217</v>
      </c>
      <c r="E54" s="65" t="s">
        <v>218</v>
      </c>
      <c r="J54" s="65" t="s">
        <v>234</v>
      </c>
      <c r="K54" s="111" t="s">
        <v>249</v>
      </c>
      <c r="L54" s="234" t="s">
        <v>297</v>
      </c>
      <c r="M54" s="115"/>
      <c r="N54" s="114">
        <v>21</v>
      </c>
      <c r="R54" s="65" t="s">
        <v>234</v>
      </c>
      <c r="S54" s="111" t="s">
        <v>249</v>
      </c>
      <c r="T54" s="234" t="s">
        <v>297</v>
      </c>
      <c r="U54" s="115"/>
      <c r="V54" s="114">
        <v>21</v>
      </c>
    </row>
    <row r="55" spans="1:22">
      <c r="A55" s="65" t="s">
        <v>296</v>
      </c>
      <c r="B55" s="125"/>
      <c r="C55" s="234"/>
      <c r="D55" s="235"/>
      <c r="E55" s="234"/>
      <c r="J55" s="234" t="s">
        <v>321</v>
      </c>
      <c r="K55" s="111" t="s">
        <v>145</v>
      </c>
      <c r="L55" s="255" t="s">
        <v>322</v>
      </c>
      <c r="M55" s="117"/>
      <c r="N55" s="114">
        <v>70</v>
      </c>
      <c r="R55" s="234" t="s">
        <v>321</v>
      </c>
      <c r="S55" s="111" t="s">
        <v>145</v>
      </c>
      <c r="T55" s="255" t="s">
        <v>322</v>
      </c>
      <c r="U55" s="117"/>
      <c r="V55" s="114">
        <v>70</v>
      </c>
    </row>
    <row r="56" spans="1:22">
      <c r="A56" s="234" t="s">
        <v>220</v>
      </c>
      <c r="B56" s="111" t="s">
        <v>249</v>
      </c>
      <c r="C56" s="234" t="s">
        <v>297</v>
      </c>
      <c r="D56" s="115"/>
      <c r="E56" s="114">
        <v>21</v>
      </c>
      <c r="J56" s="234" t="s">
        <v>321</v>
      </c>
      <c r="K56" s="111" t="s">
        <v>145</v>
      </c>
      <c r="L56" s="255" t="s">
        <v>323</v>
      </c>
      <c r="M56" s="117"/>
      <c r="N56" s="114">
        <v>45</v>
      </c>
      <c r="R56" s="234" t="s">
        <v>321</v>
      </c>
      <c r="S56" s="111" t="s">
        <v>145</v>
      </c>
      <c r="T56" s="255" t="s">
        <v>322</v>
      </c>
      <c r="U56" s="117"/>
      <c r="V56" s="114">
        <v>70</v>
      </c>
    </row>
    <row r="57" spans="1:22">
      <c r="A57" s="234" t="s">
        <v>250</v>
      </c>
      <c r="B57" s="111" t="s">
        <v>324</v>
      </c>
      <c r="C57" s="236" t="s">
        <v>325</v>
      </c>
      <c r="D57" s="117"/>
      <c r="E57" s="114">
        <v>50</v>
      </c>
      <c r="J57" s="234" t="s">
        <v>305</v>
      </c>
      <c r="K57" s="84"/>
      <c r="L57" s="85"/>
      <c r="M57" s="86"/>
      <c r="N57" s="85"/>
      <c r="R57" s="234" t="s">
        <v>305</v>
      </c>
      <c r="S57" s="84"/>
      <c r="T57" s="85"/>
      <c r="U57" s="86"/>
      <c r="V57" s="85"/>
    </row>
    <row r="58" spans="1:22">
      <c r="A58" s="234"/>
      <c r="B58" s="84"/>
      <c r="C58" s="85"/>
      <c r="D58" s="86"/>
      <c r="E58" s="85"/>
      <c r="J58" s="234"/>
      <c r="K58" s="84"/>
      <c r="L58" s="85"/>
      <c r="M58" s="86"/>
      <c r="N58" s="85"/>
      <c r="R58" s="234"/>
      <c r="S58" s="84"/>
      <c r="T58" s="85"/>
      <c r="U58" s="86"/>
      <c r="V58" s="85"/>
    </row>
    <row r="59" spans="1:22">
      <c r="A59" s="65" t="s">
        <v>234</v>
      </c>
      <c r="B59" s="84"/>
      <c r="C59" s="85"/>
      <c r="D59" s="86"/>
      <c r="E59" s="85"/>
      <c r="J59" s="234" t="s">
        <v>309</v>
      </c>
      <c r="K59" s="84"/>
      <c r="L59" s="85"/>
      <c r="M59" s="86"/>
      <c r="N59" s="85"/>
      <c r="R59" s="234" t="s">
        <v>321</v>
      </c>
      <c r="S59" s="111" t="s">
        <v>145</v>
      </c>
      <c r="T59" s="255" t="s">
        <v>326</v>
      </c>
      <c r="U59" s="117"/>
      <c r="V59" s="114">
        <v>60</v>
      </c>
    </row>
    <row r="60" spans="1:22">
      <c r="A60" s="234" t="s">
        <v>250</v>
      </c>
      <c r="B60" s="84" t="s">
        <v>145</v>
      </c>
      <c r="C60" s="125" t="s">
        <v>327</v>
      </c>
      <c r="D60" s="89"/>
      <c r="E60" s="85">
        <v>55</v>
      </c>
      <c r="J60" s="234" t="s">
        <v>309</v>
      </c>
      <c r="K60" s="84"/>
      <c r="L60" s="85"/>
      <c r="M60" s="86"/>
      <c r="N60" s="85"/>
      <c r="R60" s="234" t="s">
        <v>321</v>
      </c>
      <c r="S60" s="84"/>
      <c r="T60" s="85"/>
      <c r="U60" s="86"/>
      <c r="V60" s="85"/>
    </row>
    <row r="61" spans="1:22">
      <c r="A61" s="234" t="s">
        <v>250</v>
      </c>
      <c r="B61" s="84" t="s">
        <v>145</v>
      </c>
      <c r="C61" s="125" t="s">
        <v>327</v>
      </c>
      <c r="D61" s="89"/>
      <c r="E61" s="85">
        <v>55</v>
      </c>
      <c r="J61" s="234" t="s">
        <v>310</v>
      </c>
      <c r="K61" s="84"/>
      <c r="L61" s="85"/>
      <c r="M61" s="86"/>
      <c r="N61" s="85"/>
      <c r="R61" s="234" t="s">
        <v>310</v>
      </c>
      <c r="S61" s="84"/>
      <c r="T61" s="85"/>
      <c r="U61" s="86"/>
      <c r="V61" s="85"/>
    </row>
    <row r="62" spans="1:22">
      <c r="A62" s="234" t="s">
        <v>250</v>
      </c>
      <c r="B62" s="111" t="s">
        <v>324</v>
      </c>
      <c r="C62" s="236" t="s">
        <v>328</v>
      </c>
      <c r="D62" s="117"/>
      <c r="E62" s="114">
        <v>50</v>
      </c>
      <c r="J62" s="234" t="s">
        <v>235</v>
      </c>
      <c r="K62" s="84" t="s">
        <v>145</v>
      </c>
      <c r="L62" s="234" t="s">
        <v>313</v>
      </c>
      <c r="M62" s="86"/>
      <c r="N62" s="85">
        <v>47</v>
      </c>
      <c r="R62" s="234" t="s">
        <v>235</v>
      </c>
      <c r="S62" s="84" t="s">
        <v>249</v>
      </c>
      <c r="T62" s="234" t="s">
        <v>329</v>
      </c>
      <c r="U62" s="86"/>
      <c r="V62" s="85">
        <v>14</v>
      </c>
    </row>
    <row r="63" spans="1:22">
      <c r="A63" s="234" t="s">
        <v>271</v>
      </c>
      <c r="B63" s="84"/>
      <c r="C63" s="85"/>
      <c r="D63" s="86"/>
      <c r="E63" s="85"/>
      <c r="J63" s="234" t="s">
        <v>240</v>
      </c>
      <c r="K63" s="84"/>
      <c r="L63" s="85"/>
      <c r="M63" s="86"/>
      <c r="N63" s="85"/>
      <c r="R63" s="234" t="s">
        <v>235</v>
      </c>
      <c r="S63" s="84" t="s">
        <v>249</v>
      </c>
      <c r="T63" s="234" t="s">
        <v>329</v>
      </c>
      <c r="U63" s="86"/>
      <c r="V63" s="85">
        <v>14</v>
      </c>
    </row>
    <row r="64" spans="1:22">
      <c r="A64" s="234" t="s">
        <v>271</v>
      </c>
      <c r="B64" s="84"/>
      <c r="C64" s="85"/>
      <c r="D64" s="86"/>
      <c r="E64" s="85"/>
      <c r="J64" s="234" t="s">
        <v>240</v>
      </c>
      <c r="K64" s="84"/>
      <c r="L64" s="85"/>
      <c r="M64" s="86"/>
      <c r="N64" s="85"/>
      <c r="R64" s="234" t="s">
        <v>235</v>
      </c>
      <c r="S64" s="84" t="s">
        <v>249</v>
      </c>
      <c r="T64" s="234" t="s">
        <v>329</v>
      </c>
      <c r="U64" s="86"/>
      <c r="V64" s="85">
        <v>14</v>
      </c>
    </row>
    <row r="65" spans="1:22">
      <c r="A65" s="234" t="s">
        <v>271</v>
      </c>
      <c r="B65" s="84"/>
      <c r="C65" s="85"/>
      <c r="D65" s="86"/>
      <c r="E65" s="85"/>
      <c r="J65" s="234" t="s">
        <v>240</v>
      </c>
      <c r="K65" s="84"/>
      <c r="L65" s="85"/>
      <c r="M65" s="86"/>
      <c r="N65" s="85"/>
      <c r="R65" s="234" t="s">
        <v>240</v>
      </c>
      <c r="S65" s="84"/>
      <c r="T65" s="85"/>
      <c r="U65" s="86"/>
      <c r="V65" s="85"/>
    </row>
    <row r="66" spans="1:22">
      <c r="A66" s="234" t="s">
        <v>271</v>
      </c>
      <c r="B66" s="84"/>
      <c r="C66" s="85"/>
      <c r="D66" s="86"/>
      <c r="E66" s="85"/>
      <c r="J66" s="234" t="s">
        <v>240</v>
      </c>
      <c r="K66" s="84"/>
      <c r="L66" s="85"/>
      <c r="M66" s="86"/>
      <c r="N66" s="85"/>
      <c r="R66" s="234" t="s">
        <v>240</v>
      </c>
      <c r="S66" s="84"/>
      <c r="T66" s="85"/>
      <c r="U66" s="86"/>
      <c r="V66" s="85"/>
    </row>
    <row r="67" spans="1:22">
      <c r="A67" s="85"/>
      <c r="B67" s="84"/>
      <c r="C67" s="85"/>
      <c r="D67" s="86"/>
      <c r="E67" s="85"/>
      <c r="J67" s="234" t="s">
        <v>240</v>
      </c>
      <c r="K67" s="84"/>
      <c r="L67" s="85"/>
      <c r="M67" s="86"/>
      <c r="N67" s="85"/>
      <c r="R67" s="234" t="s">
        <v>240</v>
      </c>
      <c r="S67" s="84"/>
      <c r="T67" s="85"/>
      <c r="U67" s="86"/>
      <c r="V67" s="85"/>
    </row>
    <row r="68" spans="1:22">
      <c r="A68" s="85"/>
      <c r="B68" s="84"/>
      <c r="C68" s="85"/>
      <c r="D68" s="86"/>
      <c r="E68" s="85"/>
      <c r="J68" s="85"/>
      <c r="K68" s="84"/>
      <c r="L68" s="85"/>
      <c r="M68" s="86"/>
      <c r="N68" s="85"/>
      <c r="R68" s="85"/>
      <c r="S68" s="84"/>
      <c r="T68" s="85"/>
      <c r="U68" s="86"/>
      <c r="V68" s="85"/>
    </row>
    <row r="69" spans="1:22">
      <c r="A69" s="65" t="s">
        <v>242</v>
      </c>
      <c r="B69" s="84"/>
      <c r="C69" s="85"/>
      <c r="D69" s="86"/>
      <c r="E69" s="85">
        <f>SUM(E56:E68)</f>
        <v>231</v>
      </c>
      <c r="J69" s="85"/>
      <c r="K69" s="84"/>
      <c r="L69" s="85"/>
      <c r="M69" s="86"/>
      <c r="N69" s="85"/>
      <c r="R69" s="85"/>
      <c r="S69" s="84"/>
      <c r="T69" s="85"/>
      <c r="U69" s="86"/>
      <c r="V69" s="85"/>
    </row>
    <row r="70" spans="1:22">
      <c r="A70" s="65" t="s">
        <v>318</v>
      </c>
      <c r="B70" s="84"/>
      <c r="C70" s="85"/>
      <c r="D70" s="86"/>
      <c r="E70" s="85">
        <v>5</v>
      </c>
      <c r="J70" s="65" t="s">
        <v>242</v>
      </c>
      <c r="K70" s="84"/>
      <c r="L70" s="85"/>
      <c r="M70" s="86"/>
      <c r="N70" s="85">
        <f>SUM(N54:N69)</f>
        <v>183</v>
      </c>
      <c r="R70" s="65" t="s">
        <v>242</v>
      </c>
      <c r="S70" s="84"/>
      <c r="T70" s="85"/>
      <c r="U70" s="86"/>
      <c r="V70" s="85">
        <f>SUM(V54:V69)</f>
        <v>263</v>
      </c>
    </row>
    <row r="71" spans="1:22">
      <c r="A71" s="65"/>
      <c r="B71" s="84"/>
      <c r="C71" s="85"/>
      <c r="D71" s="86"/>
      <c r="E71" s="85"/>
      <c r="J71" s="65" t="s">
        <v>318</v>
      </c>
      <c r="K71" s="84"/>
      <c r="L71" s="85"/>
      <c r="M71" s="86"/>
      <c r="N71" s="85">
        <v>4</v>
      </c>
      <c r="R71" s="65" t="s">
        <v>318</v>
      </c>
      <c r="S71" s="84"/>
      <c r="T71" s="85"/>
      <c r="U71" s="86"/>
      <c r="V71" s="85">
        <v>7</v>
      </c>
    </row>
    <row r="73" spans="1:22">
      <c r="A73" s="65"/>
      <c r="B73" s="84"/>
      <c r="C73" s="85"/>
      <c r="D73" s="86"/>
      <c r="E73" s="85"/>
      <c r="J73" s="65" t="s">
        <v>318</v>
      </c>
      <c r="K73" s="84"/>
      <c r="L73" s="85"/>
      <c r="M73" s="86"/>
      <c r="N73" s="85">
        <v>6</v>
      </c>
      <c r="R73" s="65" t="s">
        <v>318</v>
      </c>
      <c r="S73" s="84"/>
      <c r="T73" s="85"/>
      <c r="U73" s="86"/>
      <c r="V73" s="85">
        <v>6</v>
      </c>
    </row>
    <row r="75" spans="1:22">
      <c r="A75" s="65"/>
      <c r="B75" s="111"/>
      <c r="C75" s="85"/>
      <c r="D75" s="115"/>
      <c r="E75" s="114"/>
      <c r="J75" s="65" t="s">
        <v>234</v>
      </c>
      <c r="K75" s="111" t="s">
        <v>249</v>
      </c>
      <c r="L75" s="234" t="s">
        <v>297</v>
      </c>
      <c r="M75" s="115"/>
      <c r="N75" s="114">
        <v>21</v>
      </c>
      <c r="R75" s="65" t="s">
        <v>234</v>
      </c>
      <c r="S75" s="111" t="s">
        <v>249</v>
      </c>
      <c r="T75" s="234" t="s">
        <v>297</v>
      </c>
      <c r="U75" s="115"/>
      <c r="V75" s="114">
        <v>21</v>
      </c>
    </row>
    <row r="76" spans="1:22" ht="30.75">
      <c r="A76" s="234"/>
      <c r="B76" s="111"/>
      <c r="C76" s="255" t="s">
        <v>330</v>
      </c>
      <c r="D76" s="117"/>
      <c r="E76" s="114">
        <v>105</v>
      </c>
      <c r="J76" s="234" t="s">
        <v>190</v>
      </c>
      <c r="K76" s="111" t="s">
        <v>249</v>
      </c>
      <c r="L76" s="255" t="s">
        <v>331</v>
      </c>
      <c r="M76" s="117"/>
      <c r="N76" s="114">
        <v>46</v>
      </c>
      <c r="R76" s="234" t="s">
        <v>190</v>
      </c>
      <c r="S76" s="111" t="s">
        <v>249</v>
      </c>
      <c r="T76" s="255" t="s">
        <v>332</v>
      </c>
      <c r="U76" s="117"/>
      <c r="V76" s="114">
        <v>65</v>
      </c>
    </row>
    <row r="77" spans="1:22">
      <c r="A77" s="234"/>
      <c r="B77" s="111"/>
      <c r="C77" s="255" t="s">
        <v>333</v>
      </c>
      <c r="D77" s="117"/>
      <c r="E77" s="114">
        <v>95</v>
      </c>
      <c r="J77" s="234" t="s">
        <v>334</v>
      </c>
      <c r="K77" s="111"/>
      <c r="L77" s="116"/>
      <c r="M77" s="117"/>
      <c r="N77" s="114"/>
      <c r="R77" s="234" t="s">
        <v>334</v>
      </c>
      <c r="S77" s="111"/>
      <c r="T77" s="116"/>
      <c r="U77" s="117"/>
      <c r="V77" s="114"/>
    </row>
    <row r="78" spans="1:22">
      <c r="A78" s="234"/>
      <c r="B78" s="84"/>
      <c r="C78" s="85"/>
      <c r="D78" s="86"/>
      <c r="E78" s="85"/>
      <c r="J78" s="234" t="s">
        <v>305</v>
      </c>
      <c r="K78" s="84"/>
      <c r="L78" s="85"/>
      <c r="M78" s="86"/>
      <c r="N78" s="85"/>
      <c r="R78" s="234" t="s">
        <v>305</v>
      </c>
      <c r="S78" s="84"/>
      <c r="T78" s="85"/>
      <c r="U78" s="86"/>
      <c r="V78" s="85"/>
    </row>
    <row r="79" spans="1:22">
      <c r="A79" s="234"/>
      <c r="B79" s="84"/>
      <c r="C79" s="85"/>
      <c r="D79" s="86"/>
      <c r="E79" s="85"/>
      <c r="J79" s="234"/>
      <c r="K79" s="84"/>
      <c r="L79" s="85"/>
      <c r="M79" s="86"/>
      <c r="N79" s="85"/>
      <c r="R79" s="234"/>
      <c r="S79" s="84"/>
      <c r="T79" s="85"/>
      <c r="U79" s="86"/>
      <c r="V79" s="85"/>
    </row>
    <row r="80" spans="1:22">
      <c r="A80" s="234"/>
      <c r="B80" s="84"/>
      <c r="C80" s="85"/>
      <c r="D80" s="86"/>
      <c r="E80" s="85"/>
      <c r="J80" s="234" t="s">
        <v>309</v>
      </c>
      <c r="K80" s="84"/>
      <c r="L80" s="85"/>
      <c r="M80" s="86"/>
      <c r="N80" s="85"/>
      <c r="R80" s="234" t="s">
        <v>309</v>
      </c>
      <c r="S80" s="84"/>
      <c r="T80" s="85"/>
      <c r="U80" s="86"/>
      <c r="V80" s="85"/>
    </row>
    <row r="81" spans="1:22">
      <c r="A81" s="234"/>
      <c r="B81" s="84"/>
      <c r="C81" s="85"/>
      <c r="D81" s="86"/>
      <c r="E81" s="85"/>
      <c r="J81" s="234" t="s">
        <v>309</v>
      </c>
      <c r="K81" s="84"/>
      <c r="L81" s="85"/>
      <c r="M81" s="86"/>
      <c r="N81" s="85"/>
      <c r="R81" s="234" t="s">
        <v>309</v>
      </c>
      <c r="S81" s="84"/>
      <c r="T81" s="85"/>
      <c r="U81" s="86"/>
      <c r="V81" s="85"/>
    </row>
    <row r="82" spans="1:22">
      <c r="A82" s="234"/>
      <c r="B82" s="84"/>
      <c r="C82" s="85"/>
      <c r="D82" s="86"/>
      <c r="E82" s="85"/>
      <c r="J82" s="234" t="s">
        <v>310</v>
      </c>
      <c r="K82" s="84"/>
      <c r="L82" s="85"/>
      <c r="M82" s="86"/>
      <c r="N82" s="85"/>
      <c r="R82" s="234" t="s">
        <v>310</v>
      </c>
      <c r="S82" s="84"/>
      <c r="T82" s="85"/>
      <c r="U82" s="86"/>
      <c r="V82" s="85"/>
    </row>
    <row r="83" spans="1:22">
      <c r="A83" s="234"/>
      <c r="B83" s="84"/>
      <c r="C83" s="85"/>
      <c r="D83" s="86"/>
      <c r="E83" s="85"/>
      <c r="J83" s="234" t="s">
        <v>235</v>
      </c>
      <c r="K83" s="84"/>
      <c r="L83" s="85"/>
      <c r="M83" s="86"/>
      <c r="N83" s="85"/>
      <c r="R83" s="234" t="s">
        <v>235</v>
      </c>
      <c r="S83" s="84"/>
      <c r="T83" s="85"/>
      <c r="U83" s="86"/>
      <c r="V83" s="85"/>
    </row>
    <row r="84" spans="1:22">
      <c r="A84" s="234"/>
      <c r="B84" s="84"/>
      <c r="C84" s="85"/>
      <c r="D84" s="86"/>
      <c r="E84" s="85"/>
      <c r="J84" s="234" t="s">
        <v>240</v>
      </c>
      <c r="K84" s="84"/>
      <c r="L84" s="85"/>
      <c r="M84" s="86"/>
      <c r="N84" s="85"/>
      <c r="R84" s="234" t="s">
        <v>240</v>
      </c>
      <c r="S84" s="84" t="s">
        <v>249</v>
      </c>
      <c r="T84" s="234" t="s">
        <v>335</v>
      </c>
      <c r="U84" s="86"/>
      <c r="V84" s="85">
        <v>10</v>
      </c>
    </row>
    <row r="85" spans="1:22">
      <c r="A85" s="234"/>
      <c r="B85" s="84"/>
      <c r="C85" s="85"/>
      <c r="D85" s="86"/>
      <c r="E85" s="85"/>
      <c r="J85" s="234" t="s">
        <v>240</v>
      </c>
      <c r="K85" s="84"/>
      <c r="L85" s="85"/>
      <c r="M85" s="86"/>
      <c r="N85" s="85"/>
      <c r="R85" s="234" t="s">
        <v>240</v>
      </c>
      <c r="S85" s="84"/>
      <c r="T85" s="85"/>
      <c r="U85" s="86"/>
      <c r="V85" s="85"/>
    </row>
    <row r="86" spans="1:22">
      <c r="A86" s="234"/>
      <c r="B86" s="84"/>
      <c r="C86" s="85"/>
      <c r="D86" s="86"/>
      <c r="E86" s="85"/>
      <c r="J86" s="234" t="s">
        <v>240</v>
      </c>
      <c r="K86" s="84"/>
      <c r="L86" s="85"/>
      <c r="M86" s="86"/>
      <c r="N86" s="85"/>
      <c r="R86" s="234" t="s">
        <v>240</v>
      </c>
      <c r="S86" s="84"/>
      <c r="T86" s="85"/>
      <c r="U86" s="86"/>
      <c r="V86" s="85"/>
    </row>
    <row r="87" spans="1:22">
      <c r="A87" s="234"/>
      <c r="B87" s="84"/>
      <c r="C87" s="85"/>
      <c r="D87" s="86"/>
      <c r="E87" s="85"/>
      <c r="J87" s="234" t="s">
        <v>240</v>
      </c>
      <c r="K87" s="84"/>
      <c r="L87" s="85"/>
      <c r="M87" s="86"/>
      <c r="N87" s="85"/>
      <c r="R87" s="234" t="s">
        <v>240</v>
      </c>
      <c r="S87" s="84"/>
      <c r="T87" s="85"/>
      <c r="U87" s="86"/>
      <c r="V87" s="85"/>
    </row>
    <row r="88" spans="1:22">
      <c r="A88" s="234"/>
      <c r="B88" s="84"/>
      <c r="C88" s="85"/>
      <c r="D88" s="86"/>
      <c r="E88" s="85"/>
      <c r="J88" s="234" t="s">
        <v>240</v>
      </c>
      <c r="K88" s="84"/>
      <c r="L88" s="85"/>
      <c r="M88" s="86"/>
      <c r="N88" s="85"/>
      <c r="R88" s="234" t="s">
        <v>240</v>
      </c>
      <c r="S88" s="84"/>
      <c r="T88" s="85"/>
      <c r="U88" s="86"/>
      <c r="V88" s="85"/>
    </row>
    <row r="89" spans="1:22">
      <c r="A89" s="85"/>
      <c r="B89" s="84"/>
      <c r="C89" s="85"/>
      <c r="D89" s="86"/>
      <c r="E89" s="85"/>
      <c r="J89" s="85"/>
      <c r="K89" s="84"/>
      <c r="L89" s="85"/>
      <c r="M89" s="86"/>
      <c r="N89" s="85"/>
      <c r="R89" s="85"/>
      <c r="S89" s="84"/>
      <c r="T89" s="85"/>
      <c r="U89" s="86"/>
      <c r="V89" s="85"/>
    </row>
    <row r="90" spans="1:22">
      <c r="A90" s="85"/>
      <c r="B90" s="84"/>
      <c r="C90" s="85"/>
      <c r="D90" s="86"/>
      <c r="E90" s="85"/>
      <c r="J90" s="85"/>
      <c r="K90" s="84"/>
      <c r="L90" s="85"/>
      <c r="M90" s="86"/>
      <c r="N90" s="85"/>
      <c r="R90" s="85"/>
      <c r="S90" s="84"/>
      <c r="T90" s="85"/>
      <c r="U90" s="86"/>
      <c r="V90" s="85"/>
    </row>
    <row r="91" spans="1:22">
      <c r="A91" s="65"/>
      <c r="B91" s="84"/>
      <c r="C91" s="85"/>
      <c r="D91" s="86"/>
      <c r="E91" s="85">
        <f>SUM(E76:E90)</f>
        <v>200</v>
      </c>
      <c r="J91" s="65" t="s">
        <v>242</v>
      </c>
      <c r="K91" s="84"/>
      <c r="L91" s="85"/>
      <c r="M91" s="86"/>
      <c r="N91" s="85">
        <f>SUM(N75:N90)</f>
        <v>67</v>
      </c>
      <c r="R91" s="65" t="s">
        <v>242</v>
      </c>
      <c r="S91" s="84"/>
      <c r="T91" s="85"/>
      <c r="U91" s="86"/>
      <c r="V91" s="85">
        <f>SUM(V75:V90)</f>
        <v>96</v>
      </c>
    </row>
    <row r="92" spans="1:22">
      <c r="A92" s="65"/>
      <c r="B92" s="84"/>
      <c r="C92" s="85"/>
      <c r="D92" s="86"/>
      <c r="E92" s="85">
        <v>4</v>
      </c>
      <c r="J92" s="65" t="s">
        <v>318</v>
      </c>
      <c r="K92" s="84"/>
      <c r="L92" s="85"/>
      <c r="M92" s="86"/>
      <c r="N92" s="85">
        <v>2</v>
      </c>
      <c r="R92" s="65" t="s">
        <v>318</v>
      </c>
      <c r="S92" s="84"/>
      <c r="T92" s="85"/>
      <c r="U92" s="86"/>
      <c r="V92" s="85">
        <v>3</v>
      </c>
    </row>
    <row r="94" spans="1:22" ht="76.5">
      <c r="A94" s="239"/>
      <c r="B94" s="85"/>
      <c r="C94" s="240" t="s">
        <v>336</v>
      </c>
      <c r="D94" s="108"/>
      <c r="J94" s="239"/>
      <c r="K94" s="85"/>
      <c r="L94" s="240" t="s">
        <v>336</v>
      </c>
      <c r="M94" s="108"/>
      <c r="R94" s="239"/>
      <c r="S94" s="85"/>
      <c r="T94" s="240" t="s">
        <v>336</v>
      </c>
      <c r="U94" s="108"/>
    </row>
    <row r="95" spans="1:22">
      <c r="A95" s="65" t="s">
        <v>275</v>
      </c>
      <c r="B95" s="111" t="s">
        <v>292</v>
      </c>
      <c r="C95" s="85"/>
      <c r="D95" s="108"/>
      <c r="J95" s="65" t="s">
        <v>275</v>
      </c>
      <c r="K95" s="111" t="s">
        <v>292</v>
      </c>
      <c r="L95" s="85"/>
      <c r="M95" s="108"/>
      <c r="R95" s="65" t="s">
        <v>275</v>
      </c>
      <c r="S95" s="111" t="s">
        <v>292</v>
      </c>
      <c r="T95" s="85"/>
      <c r="U95" s="108"/>
    </row>
    <row r="96" spans="1:22">
      <c r="A96" s="65" t="s">
        <v>277</v>
      </c>
      <c r="B96" s="111" t="s">
        <v>337</v>
      </c>
      <c r="C96" s="85"/>
      <c r="D96" s="108"/>
      <c r="J96" s="65" t="s">
        <v>277</v>
      </c>
      <c r="K96" s="111" t="s">
        <v>338</v>
      </c>
      <c r="L96" s="85"/>
      <c r="M96" s="108"/>
      <c r="R96" s="65" t="s">
        <v>277</v>
      </c>
      <c r="S96" s="111" t="s">
        <v>295</v>
      </c>
      <c r="T96" s="85"/>
      <c r="U96" s="108"/>
    </row>
    <row r="97" spans="1:21">
      <c r="A97" s="65" t="s">
        <v>278</v>
      </c>
      <c r="B97" s="111"/>
      <c r="C97" s="85"/>
      <c r="D97" s="108"/>
      <c r="J97" s="65" t="s">
        <v>278</v>
      </c>
      <c r="K97" s="111"/>
      <c r="L97" s="85"/>
      <c r="M97" s="108"/>
      <c r="R97" s="65" t="s">
        <v>278</v>
      </c>
      <c r="S97" s="111"/>
      <c r="T97" s="85"/>
      <c r="U97" s="108"/>
    </row>
    <row r="98" spans="1:21">
      <c r="A98" s="65" t="s">
        <v>282</v>
      </c>
      <c r="B98" s="111" t="s">
        <v>34</v>
      </c>
      <c r="C98" s="85"/>
      <c r="D98" s="108"/>
      <c r="J98" s="65" t="s">
        <v>282</v>
      </c>
      <c r="K98" s="111" t="s">
        <v>32</v>
      </c>
      <c r="L98" s="85"/>
      <c r="M98" s="108"/>
      <c r="R98" s="65" t="s">
        <v>282</v>
      </c>
      <c r="S98" s="111" t="s">
        <v>33</v>
      </c>
      <c r="T98" s="85"/>
      <c r="U98" s="108"/>
    </row>
    <row r="99" spans="1:21">
      <c r="A99" s="65"/>
      <c r="B99" s="84"/>
      <c r="C99" s="85"/>
      <c r="D99" s="108"/>
      <c r="J99" s="65"/>
      <c r="K99" s="84"/>
      <c r="L99" s="85"/>
      <c r="M99" s="108"/>
      <c r="R99" s="65"/>
      <c r="S99" s="84"/>
      <c r="T99" s="85"/>
      <c r="U99" s="108"/>
    </row>
    <row r="100" spans="1:21">
      <c r="A100" s="241" t="s">
        <v>284</v>
      </c>
      <c r="B100" s="241"/>
      <c r="C100" s="241"/>
      <c r="D100" s="108"/>
      <c r="J100" s="241" t="s">
        <v>284</v>
      </c>
      <c r="K100" s="241"/>
      <c r="L100" s="241"/>
      <c r="M100" s="108"/>
      <c r="R100" s="241" t="s">
        <v>284</v>
      </c>
      <c r="S100" s="241"/>
      <c r="T100" s="241"/>
      <c r="U100" s="108"/>
    </row>
    <row r="101" spans="1:21">
      <c r="A101" s="241"/>
      <c r="B101" s="241" t="s">
        <v>339</v>
      </c>
      <c r="C101" s="241" t="s">
        <v>15</v>
      </c>
      <c r="D101" s="241" t="s">
        <v>5</v>
      </c>
      <c r="J101" s="241"/>
      <c r="K101" s="241" t="s">
        <v>339</v>
      </c>
      <c r="L101" s="241" t="s">
        <v>15</v>
      </c>
      <c r="M101" s="241" t="s">
        <v>5</v>
      </c>
      <c r="R101" s="241"/>
      <c r="S101" s="241" t="s">
        <v>339</v>
      </c>
      <c r="T101" s="241" t="s">
        <v>15</v>
      </c>
      <c r="U101" s="241" t="s">
        <v>5</v>
      </c>
    </row>
    <row r="102" spans="1:21">
      <c r="A102" s="242" t="s">
        <v>286</v>
      </c>
      <c r="B102" s="242">
        <f>E26</f>
        <v>393</v>
      </c>
      <c r="C102" s="242">
        <v>5</v>
      </c>
      <c r="D102" s="242"/>
      <c r="J102" s="242" t="s">
        <v>286</v>
      </c>
      <c r="K102" s="242">
        <f>N26</f>
        <v>418</v>
      </c>
      <c r="L102" s="242">
        <v>7</v>
      </c>
      <c r="M102" s="242"/>
      <c r="R102" s="242" t="s">
        <v>286</v>
      </c>
      <c r="S102" s="242">
        <f>V26</f>
        <v>525</v>
      </c>
      <c r="T102" s="242">
        <f>V27</f>
        <v>7</v>
      </c>
      <c r="U102" s="242"/>
    </row>
    <row r="103" spans="1:21">
      <c r="A103" s="242" t="s">
        <v>287</v>
      </c>
      <c r="B103" s="242">
        <f>E51</f>
        <v>274</v>
      </c>
      <c r="C103" s="242">
        <v>4</v>
      </c>
      <c r="D103" s="242"/>
      <c r="J103" s="242" t="s">
        <v>287</v>
      </c>
      <c r="K103" s="242">
        <f>N51</f>
        <v>390</v>
      </c>
      <c r="L103" s="242">
        <v>6</v>
      </c>
      <c r="M103" s="242"/>
      <c r="R103" s="242" t="s">
        <v>287</v>
      </c>
      <c r="S103" s="242">
        <f>V51</f>
        <v>214</v>
      </c>
      <c r="T103" s="242">
        <f>V52</f>
        <v>5</v>
      </c>
      <c r="U103" s="242"/>
    </row>
    <row r="104" spans="1:21">
      <c r="A104" s="242" t="s">
        <v>288</v>
      </c>
      <c r="B104" s="242">
        <f>E69</f>
        <v>231</v>
      </c>
      <c r="C104" s="242">
        <v>5</v>
      </c>
      <c r="D104" s="242"/>
      <c r="J104" s="242" t="s">
        <v>288</v>
      </c>
      <c r="K104" s="242">
        <f>N91</f>
        <v>67</v>
      </c>
      <c r="L104" s="242">
        <v>4</v>
      </c>
      <c r="M104" s="242"/>
      <c r="R104" s="242" t="s">
        <v>288</v>
      </c>
      <c r="S104" s="242">
        <f>V91</f>
        <v>96</v>
      </c>
      <c r="T104" s="242">
        <f>V71</f>
        <v>7</v>
      </c>
      <c r="U104" s="242"/>
    </row>
    <row r="105" spans="1:21">
      <c r="A105" s="242" t="s">
        <v>188</v>
      </c>
      <c r="B105" s="242">
        <f>E91</f>
        <v>200</v>
      </c>
      <c r="C105" s="242">
        <v>2</v>
      </c>
      <c r="D105" s="242"/>
      <c r="J105" s="242" t="s">
        <v>340</v>
      </c>
      <c r="K105" s="242">
        <f>N70</f>
        <v>183</v>
      </c>
      <c r="L105" s="242">
        <v>2</v>
      </c>
      <c r="M105" s="242"/>
      <c r="R105" s="242" t="s">
        <v>340</v>
      </c>
      <c r="S105" s="242">
        <f>V70</f>
        <v>263</v>
      </c>
      <c r="T105" s="242">
        <f>V92</f>
        <v>3</v>
      </c>
      <c r="U105" s="242"/>
    </row>
    <row r="106" spans="1:21">
      <c r="A106" s="242"/>
      <c r="B106" s="241">
        <f>SUM(B102:B105)</f>
        <v>1098</v>
      </c>
      <c r="C106" s="241">
        <f>SUM(C102:C105)</f>
        <v>16</v>
      </c>
      <c r="D106" s="242"/>
      <c r="J106" s="242"/>
      <c r="K106" s="241">
        <f>SUM(K102:K105)+K107</f>
        <v>1100</v>
      </c>
      <c r="L106" s="241">
        <f>SUM(L102:L105)+L107</f>
        <v>20</v>
      </c>
      <c r="M106" s="242"/>
      <c r="R106" s="242"/>
      <c r="S106" s="241">
        <f>SUM(S102:S105)</f>
        <v>1098</v>
      </c>
      <c r="T106" s="241">
        <f>SUM(T102:T105)</f>
        <v>22</v>
      </c>
      <c r="U106" s="242"/>
    </row>
    <row r="107" spans="1:21">
      <c r="A107" t="s">
        <v>341</v>
      </c>
      <c r="J107" t="s">
        <v>341</v>
      </c>
      <c r="K107">
        <v>42</v>
      </c>
      <c r="L10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721-3712-42C6-9AD4-D1B15E42916C}">
  <dimension ref="A1:U112"/>
  <sheetViews>
    <sheetView topLeftCell="C81" workbookViewId="0">
      <selection activeCell="S106" sqref="S106"/>
    </sheetView>
  </sheetViews>
  <sheetFormatPr defaultRowHeight="15"/>
  <cols>
    <col min="1" max="1" width="37.7109375" bestFit="1" customWidth="1"/>
    <col min="3" max="3" width="31.7109375" bestFit="1" customWidth="1"/>
    <col min="9" max="9" width="37.7109375" bestFit="1" customWidth="1"/>
    <col min="11" max="11" width="31.7109375" bestFit="1" customWidth="1"/>
    <col min="18" max="18" width="19.140625" bestFit="1" customWidth="1"/>
  </cols>
  <sheetData>
    <row r="1" spans="1:21">
      <c r="C1" t="s">
        <v>37</v>
      </c>
      <c r="K1" s="252" t="s">
        <v>342</v>
      </c>
      <c r="R1" t="s">
        <v>37</v>
      </c>
    </row>
    <row r="2" spans="1:21">
      <c r="A2" t="s">
        <v>84</v>
      </c>
      <c r="B2" t="s">
        <v>45</v>
      </c>
      <c r="C2" t="s">
        <v>343</v>
      </c>
      <c r="I2" t="s">
        <v>32</v>
      </c>
      <c r="J2" t="s">
        <v>45</v>
      </c>
      <c r="K2" t="s">
        <v>129</v>
      </c>
      <c r="Q2" t="s">
        <v>31</v>
      </c>
      <c r="R2" t="s">
        <v>45</v>
      </c>
      <c r="S2" t="s">
        <v>344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67" t="s">
        <v>219</v>
      </c>
      <c r="R4" s="68"/>
      <c r="S4" s="69"/>
      <c r="T4" s="70"/>
      <c r="U4" s="71"/>
    </row>
    <row r="5" spans="1:21">
      <c r="A5" s="72" t="s">
        <v>220</v>
      </c>
      <c r="B5" s="111" t="s">
        <v>124</v>
      </c>
      <c r="C5" s="254" t="s">
        <v>345</v>
      </c>
      <c r="D5" s="115" t="s">
        <v>142</v>
      </c>
      <c r="E5" s="107">
        <v>24</v>
      </c>
      <c r="F5" t="s">
        <v>346</v>
      </c>
      <c r="I5" s="72" t="s">
        <v>220</v>
      </c>
      <c r="J5" s="111" t="s">
        <v>100</v>
      </c>
      <c r="K5" s="254" t="s">
        <v>347</v>
      </c>
      <c r="L5" s="115" t="s">
        <v>142</v>
      </c>
      <c r="M5" s="107">
        <v>20</v>
      </c>
      <c r="N5" t="s">
        <v>346</v>
      </c>
      <c r="Q5" s="72" t="s">
        <v>220</v>
      </c>
      <c r="R5" s="111" t="s">
        <v>348</v>
      </c>
      <c r="S5" s="114" t="s">
        <v>349</v>
      </c>
      <c r="T5" s="115" t="s">
        <v>127</v>
      </c>
      <c r="U5" s="107">
        <v>50</v>
      </c>
    </row>
    <row r="6" spans="1:21" ht="60.75">
      <c r="A6" s="72" t="s">
        <v>226</v>
      </c>
      <c r="B6" s="111" t="s">
        <v>124</v>
      </c>
      <c r="C6" s="254" t="s">
        <v>350</v>
      </c>
      <c r="D6" s="117" t="s">
        <v>142</v>
      </c>
      <c r="E6" s="107">
        <v>108</v>
      </c>
      <c r="I6" s="72" t="s">
        <v>226</v>
      </c>
      <c r="J6" s="111" t="s">
        <v>145</v>
      </c>
      <c r="K6" s="254" t="s">
        <v>351</v>
      </c>
      <c r="L6" s="117" t="s">
        <v>142</v>
      </c>
      <c r="M6" s="107">
        <v>60</v>
      </c>
      <c r="Q6" s="72" t="s">
        <v>226</v>
      </c>
      <c r="R6" s="111" t="s">
        <v>352</v>
      </c>
      <c r="S6" s="116" t="s">
        <v>353</v>
      </c>
      <c r="T6" s="117" t="s">
        <v>127</v>
      </c>
      <c r="U6" s="107">
        <v>110</v>
      </c>
    </row>
    <row r="7" spans="1:21" ht="60.75">
      <c r="A7" s="72" t="s">
        <v>232</v>
      </c>
      <c r="B7" s="111" t="s">
        <v>124</v>
      </c>
      <c r="C7" s="254" t="s">
        <v>350</v>
      </c>
      <c r="D7" s="117" t="s">
        <v>142</v>
      </c>
      <c r="E7" s="107">
        <v>108</v>
      </c>
      <c r="I7" s="72" t="s">
        <v>232</v>
      </c>
      <c r="J7" s="111" t="s">
        <v>145</v>
      </c>
      <c r="K7" s="255" t="s">
        <v>351</v>
      </c>
      <c r="L7" s="117" t="s">
        <v>142</v>
      </c>
      <c r="M7" s="107">
        <v>60</v>
      </c>
      <c r="Q7" s="72" t="s">
        <v>232</v>
      </c>
      <c r="R7" s="111" t="s">
        <v>354</v>
      </c>
      <c r="S7" s="116" t="s">
        <v>355</v>
      </c>
      <c r="T7" s="117" t="s">
        <v>127</v>
      </c>
      <c r="U7" s="107">
        <v>85</v>
      </c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79"/>
      <c r="R8" s="80"/>
      <c r="S8" s="81"/>
      <c r="T8" s="82"/>
      <c r="U8" s="83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67" t="s">
        <v>234</v>
      </c>
      <c r="R9" s="80"/>
      <c r="S9" s="81"/>
      <c r="T9" s="82"/>
      <c r="U9" s="83"/>
    </row>
    <row r="10" spans="1:21">
      <c r="A10" s="72" t="s">
        <v>303</v>
      </c>
      <c r="B10" s="84" t="s">
        <v>124</v>
      </c>
      <c r="C10" s="254" t="s">
        <v>350</v>
      </c>
      <c r="D10" s="86" t="s">
        <v>142</v>
      </c>
      <c r="E10" s="87">
        <v>108</v>
      </c>
      <c r="I10" s="72" t="s">
        <v>303</v>
      </c>
      <c r="J10" s="84" t="s">
        <v>145</v>
      </c>
      <c r="K10" s="234" t="s">
        <v>351</v>
      </c>
      <c r="L10" s="86" t="s">
        <v>142</v>
      </c>
      <c r="M10" s="87">
        <v>60</v>
      </c>
      <c r="Q10" s="72" t="s">
        <v>303</v>
      </c>
      <c r="R10" s="84"/>
      <c r="S10" s="85"/>
      <c r="T10" s="86"/>
      <c r="U10" s="87"/>
    </row>
    <row r="11" spans="1:21">
      <c r="A11" s="72" t="s">
        <v>303</v>
      </c>
      <c r="B11" s="84" t="s">
        <v>124</v>
      </c>
      <c r="C11" s="254" t="s">
        <v>350</v>
      </c>
      <c r="D11" s="86" t="s">
        <v>142</v>
      </c>
      <c r="E11" s="87">
        <v>108</v>
      </c>
      <c r="I11" s="72" t="s">
        <v>303</v>
      </c>
      <c r="J11" s="84" t="s">
        <v>145</v>
      </c>
      <c r="K11" s="234" t="s">
        <v>351</v>
      </c>
      <c r="L11" s="86" t="s">
        <v>142</v>
      </c>
      <c r="M11" s="87">
        <v>60</v>
      </c>
      <c r="Q11" s="72" t="s">
        <v>303</v>
      </c>
      <c r="R11" s="84"/>
      <c r="S11" s="85"/>
      <c r="T11" s="86"/>
      <c r="U11" s="87"/>
    </row>
    <row r="12" spans="1:21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72" t="s">
        <v>305</v>
      </c>
      <c r="R12" s="84"/>
      <c r="S12" s="85"/>
      <c r="T12" s="86"/>
      <c r="U12" s="87"/>
    </row>
    <row r="13" spans="1:21">
      <c r="A13" s="72" t="s">
        <v>306</v>
      </c>
      <c r="B13" s="84" t="s">
        <v>145</v>
      </c>
      <c r="C13" s="234" t="s">
        <v>356</v>
      </c>
      <c r="D13" s="86" t="s">
        <v>142</v>
      </c>
      <c r="E13" s="87">
        <v>86</v>
      </c>
      <c r="I13" s="72" t="s">
        <v>306</v>
      </c>
      <c r="J13" s="84"/>
      <c r="K13" s="85"/>
      <c r="L13" s="86"/>
      <c r="M13" s="87"/>
      <c r="Q13" s="72" t="s">
        <v>306</v>
      </c>
      <c r="R13" s="84" t="s">
        <v>352</v>
      </c>
      <c r="S13" s="85" t="s">
        <v>357</v>
      </c>
      <c r="T13" s="86" t="s">
        <v>127</v>
      </c>
      <c r="U13" s="87">
        <v>97</v>
      </c>
    </row>
    <row r="14" spans="1:21">
      <c r="A14" s="72" t="s">
        <v>309</v>
      </c>
      <c r="B14" s="84"/>
      <c r="C14" s="85"/>
      <c r="D14" s="86"/>
      <c r="E14" s="87"/>
      <c r="I14" s="72" t="s">
        <v>309</v>
      </c>
      <c r="J14" s="84" t="s">
        <v>100</v>
      </c>
      <c r="K14" s="234" t="s">
        <v>358</v>
      </c>
      <c r="L14" s="86" t="s">
        <v>142</v>
      </c>
      <c r="M14" s="87">
        <v>25</v>
      </c>
      <c r="Q14" s="72" t="s">
        <v>309</v>
      </c>
      <c r="R14" s="84"/>
      <c r="S14" s="85"/>
      <c r="T14" s="86"/>
      <c r="U14" s="87"/>
    </row>
    <row r="15" spans="1:21">
      <c r="A15" s="72" t="s">
        <v>309</v>
      </c>
      <c r="B15" s="84"/>
      <c r="C15" s="85"/>
      <c r="D15" s="86"/>
      <c r="E15" s="87"/>
      <c r="I15" s="72" t="s">
        <v>309</v>
      </c>
      <c r="J15" s="84"/>
      <c r="K15" s="85"/>
      <c r="L15" s="86"/>
      <c r="M15" s="87"/>
      <c r="Q15" s="72" t="s">
        <v>309</v>
      </c>
      <c r="R15" s="84" t="s">
        <v>352</v>
      </c>
      <c r="S15" s="85" t="s">
        <v>359</v>
      </c>
      <c r="T15" s="86" t="s">
        <v>127</v>
      </c>
      <c r="U15" s="87">
        <v>35</v>
      </c>
    </row>
    <row r="16" spans="1:21">
      <c r="A16" s="72" t="s">
        <v>310</v>
      </c>
      <c r="B16" s="84"/>
      <c r="C16" s="85"/>
      <c r="D16" s="86"/>
      <c r="E16" s="87"/>
      <c r="I16" s="72" t="s">
        <v>310</v>
      </c>
      <c r="J16" s="84" t="s">
        <v>145</v>
      </c>
      <c r="K16" s="234" t="s">
        <v>11</v>
      </c>
      <c r="L16" s="86" t="s">
        <v>142</v>
      </c>
      <c r="M16" s="87">
        <v>52</v>
      </c>
      <c r="Q16" s="72" t="s">
        <v>310</v>
      </c>
      <c r="R16" s="84"/>
      <c r="S16" s="85"/>
      <c r="T16" s="86"/>
      <c r="U16" s="87"/>
    </row>
    <row r="17" spans="1:21">
      <c r="A17" s="72" t="s">
        <v>235</v>
      </c>
      <c r="B17" s="84"/>
      <c r="C17" s="85"/>
      <c r="D17" s="86"/>
      <c r="E17" s="87"/>
      <c r="I17" s="72" t="s">
        <v>235</v>
      </c>
      <c r="J17" s="84" t="s">
        <v>145</v>
      </c>
      <c r="K17" s="234" t="s">
        <v>238</v>
      </c>
      <c r="L17" s="86" t="s">
        <v>142</v>
      </c>
      <c r="M17" s="87">
        <v>45</v>
      </c>
      <c r="Q17" s="72" t="s">
        <v>235</v>
      </c>
      <c r="R17" s="84" t="s">
        <v>352</v>
      </c>
      <c r="S17" s="85" t="s">
        <v>360</v>
      </c>
      <c r="T17" s="86" t="s">
        <v>127</v>
      </c>
      <c r="U17" s="87">
        <v>25</v>
      </c>
    </row>
    <row r="18" spans="1:21">
      <c r="A18" s="72" t="s">
        <v>240</v>
      </c>
      <c r="B18" s="84"/>
      <c r="C18" s="85"/>
      <c r="D18" s="86"/>
      <c r="E18" s="87"/>
      <c r="I18" s="72" t="s">
        <v>240</v>
      </c>
      <c r="J18" s="84" t="s">
        <v>145</v>
      </c>
      <c r="K18" s="234" t="s">
        <v>361</v>
      </c>
      <c r="L18" s="86" t="s">
        <v>142</v>
      </c>
      <c r="M18" s="87">
        <v>68</v>
      </c>
      <c r="Q18" s="72" t="s">
        <v>240</v>
      </c>
      <c r="R18" s="84"/>
      <c r="S18" s="85"/>
      <c r="T18" s="86"/>
      <c r="U18" s="87"/>
    </row>
    <row r="19" spans="1:21">
      <c r="A19" s="72" t="s">
        <v>240</v>
      </c>
      <c r="B19" s="84"/>
      <c r="C19" s="85"/>
      <c r="D19" s="86"/>
      <c r="E19" s="87"/>
      <c r="I19" s="72" t="s">
        <v>240</v>
      </c>
      <c r="J19" s="84"/>
      <c r="K19" s="85"/>
      <c r="L19" s="86"/>
      <c r="M19" s="87"/>
      <c r="Q19" s="72" t="s">
        <v>240</v>
      </c>
      <c r="R19" s="84"/>
      <c r="S19" s="85"/>
      <c r="T19" s="86"/>
      <c r="U19" s="87"/>
    </row>
    <row r="20" spans="1:21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72" t="s">
        <v>240</v>
      </c>
      <c r="R20" s="84"/>
      <c r="S20" s="85"/>
      <c r="T20" s="86"/>
      <c r="U20" s="87"/>
    </row>
    <row r="21" spans="1:21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72" t="s">
        <v>240</v>
      </c>
      <c r="R21" s="84"/>
      <c r="S21" s="85"/>
      <c r="T21" s="86"/>
      <c r="U21" s="87"/>
    </row>
    <row r="22" spans="1:21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72" t="s">
        <v>240</v>
      </c>
      <c r="R22" s="84"/>
      <c r="S22" s="85"/>
      <c r="T22" s="86"/>
      <c r="U22" s="87"/>
    </row>
    <row r="23" spans="1:21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42"/>
      <c r="R23" s="80"/>
      <c r="S23" s="81"/>
      <c r="T23" s="82"/>
      <c r="U23" s="83"/>
    </row>
    <row r="24" spans="1:21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42"/>
      <c r="R24" s="80"/>
      <c r="S24" s="81"/>
      <c r="T24" s="82"/>
      <c r="U24" s="83"/>
    </row>
    <row r="25" spans="1:21">
      <c r="A25" s="67" t="s">
        <v>242</v>
      </c>
      <c r="B25" s="84"/>
      <c r="C25" s="85"/>
      <c r="D25" s="86"/>
      <c r="E25" s="87">
        <f>SUM(E5:E24)</f>
        <v>542</v>
      </c>
      <c r="I25" s="67" t="s">
        <v>242</v>
      </c>
      <c r="J25" s="84"/>
      <c r="K25" s="85"/>
      <c r="L25" s="86"/>
      <c r="M25" s="87">
        <f>SUM(M4:M22)</f>
        <v>450</v>
      </c>
      <c r="Q25" s="67" t="s">
        <v>242</v>
      </c>
      <c r="R25" s="84"/>
      <c r="S25" s="85"/>
      <c r="T25" s="86"/>
      <c r="U25" s="87">
        <f>SUM(U5:U22)</f>
        <v>402</v>
      </c>
    </row>
    <row r="26" spans="1:21">
      <c r="A26" s="67" t="s">
        <v>243</v>
      </c>
      <c r="B26" s="84"/>
      <c r="C26" s="85"/>
      <c r="D26" s="86"/>
      <c r="E26" s="87">
        <v>6</v>
      </c>
      <c r="I26" s="67" t="s">
        <v>243</v>
      </c>
      <c r="J26" s="84"/>
      <c r="K26" s="85"/>
      <c r="L26" s="86"/>
      <c r="M26" s="87">
        <v>9</v>
      </c>
      <c r="Q26" s="67" t="s">
        <v>243</v>
      </c>
      <c r="R26" s="84"/>
      <c r="S26" s="85"/>
      <c r="T26" s="86"/>
      <c r="U26" s="87">
        <v>6</v>
      </c>
    </row>
    <row r="28" spans="1:21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42"/>
      <c r="J28" s="63" t="s">
        <v>215</v>
      </c>
      <c r="K28" s="65" t="s">
        <v>216</v>
      </c>
      <c r="L28" s="66" t="s">
        <v>217</v>
      </c>
      <c r="M28" s="45" t="s">
        <v>218</v>
      </c>
      <c r="Q28" s="42"/>
      <c r="R28" s="6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67" t="s">
        <v>219</v>
      </c>
      <c r="R29" s="68"/>
      <c r="S29" s="69"/>
      <c r="T29" s="70"/>
      <c r="U29" s="71"/>
    </row>
    <row r="30" spans="1:21">
      <c r="A30" s="72" t="s">
        <v>220</v>
      </c>
      <c r="B30" s="111" t="s">
        <v>100</v>
      </c>
      <c r="C30" s="254" t="s">
        <v>362</v>
      </c>
      <c r="D30" s="115" t="s">
        <v>142</v>
      </c>
      <c r="E30" s="107">
        <v>21</v>
      </c>
      <c r="I30" s="72" t="s">
        <v>220</v>
      </c>
      <c r="J30" s="111" t="s">
        <v>100</v>
      </c>
      <c r="K30" s="254" t="s">
        <v>363</v>
      </c>
      <c r="L30" s="115" t="s">
        <v>142</v>
      </c>
      <c r="M30" s="107">
        <v>35</v>
      </c>
      <c r="Q30" s="72" t="s">
        <v>220</v>
      </c>
      <c r="R30" s="111" t="s">
        <v>364</v>
      </c>
      <c r="S30" s="114" t="s">
        <v>365</v>
      </c>
      <c r="T30" s="115" t="s">
        <v>127</v>
      </c>
      <c r="U30" s="107">
        <v>21</v>
      </c>
    </row>
    <row r="31" spans="1:21" ht="60.75">
      <c r="A31" s="72" t="s">
        <v>226</v>
      </c>
      <c r="B31" s="111" t="s">
        <v>124</v>
      </c>
      <c r="C31" s="255" t="s">
        <v>366</v>
      </c>
      <c r="D31" s="117" t="s">
        <v>142</v>
      </c>
      <c r="E31" s="107">
        <v>90</v>
      </c>
      <c r="I31" s="72" t="s">
        <v>226</v>
      </c>
      <c r="J31" s="111" t="s">
        <v>145</v>
      </c>
      <c r="K31" s="255" t="s">
        <v>367</v>
      </c>
      <c r="L31" s="117" t="s">
        <v>142</v>
      </c>
      <c r="M31" s="107">
        <v>90</v>
      </c>
      <c r="Q31" s="72" t="s">
        <v>226</v>
      </c>
      <c r="R31" s="111" t="s">
        <v>352</v>
      </c>
      <c r="S31" s="116" t="s">
        <v>368</v>
      </c>
      <c r="T31" s="117" t="s">
        <v>127</v>
      </c>
      <c r="U31" s="107">
        <v>110</v>
      </c>
    </row>
    <row r="32" spans="1:21" ht="60.75">
      <c r="A32" s="72" t="s">
        <v>232</v>
      </c>
      <c r="B32" s="111" t="s">
        <v>145</v>
      </c>
      <c r="C32" s="255" t="s">
        <v>369</v>
      </c>
      <c r="D32" s="117" t="s">
        <v>142</v>
      </c>
      <c r="E32" s="107">
        <v>58</v>
      </c>
      <c r="I32" s="72" t="s">
        <v>232</v>
      </c>
      <c r="J32" s="111" t="s">
        <v>145</v>
      </c>
      <c r="K32" s="255" t="s">
        <v>370</v>
      </c>
      <c r="L32" s="117" t="s">
        <v>142</v>
      </c>
      <c r="M32" s="107">
        <v>77</v>
      </c>
      <c r="Q32" s="72" t="s">
        <v>232</v>
      </c>
      <c r="R32" s="111" t="s">
        <v>352</v>
      </c>
      <c r="S32" s="116" t="s">
        <v>371</v>
      </c>
      <c r="T32" s="117" t="s">
        <v>127</v>
      </c>
      <c r="U32" s="107">
        <v>100</v>
      </c>
    </row>
    <row r="33" spans="1:21">
      <c r="A33" s="79"/>
      <c r="B33" s="80"/>
      <c r="C33" s="81"/>
      <c r="D33" s="82"/>
      <c r="E33" s="83"/>
      <c r="I33" s="79"/>
      <c r="J33" s="80"/>
      <c r="K33" s="81"/>
      <c r="L33" s="82"/>
      <c r="M33" s="83"/>
      <c r="Q33" s="79"/>
      <c r="R33" s="80"/>
      <c r="S33" s="81"/>
      <c r="T33" s="82"/>
      <c r="U33" s="83"/>
    </row>
    <row r="34" spans="1:21">
      <c r="A34" s="67" t="s">
        <v>234</v>
      </c>
      <c r="B34" s="80"/>
      <c r="C34" s="81"/>
      <c r="D34" s="82"/>
      <c r="E34" s="83"/>
      <c r="I34" s="67" t="s">
        <v>234</v>
      </c>
      <c r="J34" s="80"/>
      <c r="K34" s="81"/>
      <c r="L34" s="82"/>
      <c r="M34" s="83"/>
      <c r="Q34" s="67" t="s">
        <v>234</v>
      </c>
      <c r="R34" s="80"/>
      <c r="S34" s="81"/>
      <c r="T34" s="82"/>
      <c r="U34" s="83"/>
    </row>
    <row r="35" spans="1:21">
      <c r="A35" s="72" t="s">
        <v>303</v>
      </c>
      <c r="B35" s="84"/>
      <c r="C35" s="85"/>
      <c r="D35" s="86"/>
      <c r="E35" s="87"/>
      <c r="I35" s="72" t="s">
        <v>303</v>
      </c>
      <c r="J35" s="84"/>
      <c r="K35" s="85"/>
      <c r="L35" s="86"/>
      <c r="M35" s="87"/>
      <c r="Q35" s="72" t="s">
        <v>303</v>
      </c>
      <c r="R35" s="84"/>
      <c r="S35" s="85"/>
      <c r="T35" s="86"/>
      <c r="U35" s="87"/>
    </row>
    <row r="36" spans="1:21">
      <c r="A36" s="72" t="s">
        <v>303</v>
      </c>
      <c r="B36" s="84"/>
      <c r="C36" s="85"/>
      <c r="D36" s="86"/>
      <c r="E36" s="87"/>
      <c r="I36" s="72" t="s">
        <v>303</v>
      </c>
      <c r="J36" s="84"/>
      <c r="K36" s="85"/>
      <c r="L36" s="86"/>
      <c r="M36" s="87"/>
      <c r="Q36" s="72" t="s">
        <v>303</v>
      </c>
      <c r="R36" s="84"/>
      <c r="S36" s="85"/>
      <c r="T36" s="86"/>
      <c r="U36" s="87"/>
    </row>
    <row r="37" spans="1:21">
      <c r="A37" s="72" t="s">
        <v>305</v>
      </c>
      <c r="B37" s="84"/>
      <c r="C37" s="85"/>
      <c r="D37" s="86"/>
      <c r="E37" s="87"/>
      <c r="I37" s="72" t="s">
        <v>305</v>
      </c>
      <c r="J37" s="84"/>
      <c r="K37" s="85"/>
      <c r="L37" s="86"/>
      <c r="M37" s="87"/>
      <c r="Q37" s="72" t="s">
        <v>305</v>
      </c>
      <c r="R37" s="84"/>
      <c r="S37" s="85"/>
      <c r="T37" s="86"/>
      <c r="U37" s="87"/>
    </row>
    <row r="38" spans="1:21">
      <c r="A38" s="72" t="s">
        <v>306</v>
      </c>
      <c r="B38" s="84" t="s">
        <v>145</v>
      </c>
      <c r="C38" s="234" t="s">
        <v>356</v>
      </c>
      <c r="D38" s="86" t="s">
        <v>142</v>
      </c>
      <c r="E38" s="87">
        <v>86</v>
      </c>
      <c r="I38" s="72" t="s">
        <v>306</v>
      </c>
      <c r="J38" s="84"/>
      <c r="K38" s="85"/>
      <c r="L38" s="86"/>
      <c r="M38" s="87"/>
      <c r="Q38" s="72" t="s">
        <v>306</v>
      </c>
      <c r="R38" s="84"/>
      <c r="S38" s="85"/>
      <c r="T38" s="86"/>
      <c r="U38" s="87"/>
    </row>
    <row r="39" spans="1:21">
      <c r="A39" s="72" t="s">
        <v>309</v>
      </c>
      <c r="B39" s="84"/>
      <c r="C39" s="85"/>
      <c r="D39" s="86"/>
      <c r="E39" s="87"/>
      <c r="I39" s="72" t="s">
        <v>309</v>
      </c>
      <c r="J39" s="84" t="s">
        <v>100</v>
      </c>
      <c r="K39" s="234" t="s">
        <v>372</v>
      </c>
      <c r="L39" s="86" t="s">
        <v>142</v>
      </c>
      <c r="M39" s="87">
        <v>25</v>
      </c>
      <c r="Q39" s="72" t="s">
        <v>309</v>
      </c>
      <c r="R39" s="84"/>
      <c r="S39" s="85"/>
      <c r="T39" s="86"/>
      <c r="U39" s="87"/>
    </row>
    <row r="40" spans="1:21">
      <c r="A40" s="72" t="s">
        <v>309</v>
      </c>
      <c r="B40" s="84"/>
      <c r="C40" s="85"/>
      <c r="D40" s="86"/>
      <c r="E40" s="87"/>
      <c r="I40" s="72" t="s">
        <v>309</v>
      </c>
      <c r="J40" s="84" t="s">
        <v>100</v>
      </c>
      <c r="K40" s="234" t="s">
        <v>372</v>
      </c>
      <c r="L40" s="86" t="s">
        <v>142</v>
      </c>
      <c r="M40" s="87">
        <v>25</v>
      </c>
      <c r="Q40" s="72" t="s">
        <v>309</v>
      </c>
      <c r="R40" s="84" t="s">
        <v>373</v>
      </c>
      <c r="S40" s="85" t="s">
        <v>374</v>
      </c>
      <c r="T40" s="86" t="s">
        <v>127</v>
      </c>
      <c r="U40" s="87">
        <v>21</v>
      </c>
    </row>
    <row r="41" spans="1:21">
      <c r="A41" s="72" t="s">
        <v>375</v>
      </c>
      <c r="B41" s="84"/>
      <c r="C41" s="85"/>
      <c r="D41" s="86"/>
      <c r="E41" s="87"/>
      <c r="I41" s="72" t="s">
        <v>375</v>
      </c>
      <c r="J41" s="84"/>
      <c r="K41" s="85"/>
      <c r="L41" s="86"/>
      <c r="M41" s="87"/>
      <c r="Q41" s="72" t="s">
        <v>375</v>
      </c>
      <c r="R41" s="84"/>
      <c r="S41" s="85"/>
      <c r="T41" s="86"/>
      <c r="U41" s="87"/>
    </row>
    <row r="42" spans="1:21">
      <c r="A42" s="72" t="s">
        <v>235</v>
      </c>
      <c r="B42" s="84"/>
      <c r="C42" s="85"/>
      <c r="D42" s="86"/>
      <c r="E42" s="87"/>
      <c r="I42" s="72" t="s">
        <v>235</v>
      </c>
      <c r="J42" s="84" t="s">
        <v>145</v>
      </c>
      <c r="K42" s="234" t="s">
        <v>238</v>
      </c>
      <c r="L42" s="86" t="s">
        <v>142</v>
      </c>
      <c r="M42" s="87">
        <v>45</v>
      </c>
      <c r="Q42" s="72" t="s">
        <v>235</v>
      </c>
      <c r="R42" s="84" t="s">
        <v>352</v>
      </c>
      <c r="S42" s="85" t="s">
        <v>314</v>
      </c>
      <c r="T42" s="86" t="s">
        <v>127</v>
      </c>
      <c r="U42" s="87">
        <v>25</v>
      </c>
    </row>
    <row r="43" spans="1:21">
      <c r="A43" s="72" t="s">
        <v>240</v>
      </c>
      <c r="B43" s="84"/>
      <c r="C43" s="85"/>
      <c r="D43" s="86"/>
      <c r="E43" s="87"/>
      <c r="I43" s="72" t="s">
        <v>240</v>
      </c>
      <c r="J43" s="84" t="s">
        <v>145</v>
      </c>
      <c r="K43" s="234" t="s">
        <v>376</v>
      </c>
      <c r="L43" s="86" t="s">
        <v>142</v>
      </c>
      <c r="M43" s="87">
        <v>47</v>
      </c>
      <c r="Q43" s="72" t="s">
        <v>240</v>
      </c>
      <c r="R43" s="84"/>
      <c r="S43" s="85"/>
      <c r="T43" s="86"/>
      <c r="U43" s="87"/>
    </row>
    <row r="44" spans="1:21">
      <c r="A44" s="72" t="s">
        <v>240</v>
      </c>
      <c r="B44" s="84"/>
      <c r="C44" s="85"/>
      <c r="D44" s="86"/>
      <c r="E44" s="87"/>
      <c r="I44" s="72" t="s">
        <v>240</v>
      </c>
      <c r="J44" s="84" t="s">
        <v>145</v>
      </c>
      <c r="K44" s="85" t="s">
        <v>377</v>
      </c>
      <c r="L44" s="86" t="s">
        <v>142</v>
      </c>
      <c r="M44" s="87">
        <v>70</v>
      </c>
      <c r="Q44" s="72" t="s">
        <v>240</v>
      </c>
      <c r="R44" s="84"/>
      <c r="S44" s="85"/>
      <c r="T44" s="86"/>
      <c r="U44" s="87"/>
    </row>
    <row r="45" spans="1:21">
      <c r="A45" s="72" t="s">
        <v>240</v>
      </c>
      <c r="B45" s="84"/>
      <c r="C45" s="85"/>
      <c r="D45" s="86"/>
      <c r="E45" s="87"/>
      <c r="I45" s="72" t="s">
        <v>240</v>
      </c>
      <c r="J45" s="84"/>
      <c r="K45" s="85"/>
      <c r="L45" s="86"/>
      <c r="M45" s="87"/>
      <c r="Q45" s="72" t="s">
        <v>240</v>
      </c>
      <c r="R45" s="84"/>
      <c r="S45" s="85"/>
      <c r="T45" s="86"/>
      <c r="U45" s="87"/>
    </row>
    <row r="46" spans="1:21">
      <c r="A46" s="72" t="s">
        <v>240</v>
      </c>
      <c r="B46" s="84"/>
      <c r="C46" s="85"/>
      <c r="D46" s="86"/>
      <c r="E46" s="87"/>
      <c r="I46" s="72" t="s">
        <v>240</v>
      </c>
      <c r="J46" s="84"/>
      <c r="K46" s="85"/>
      <c r="L46" s="86"/>
      <c r="M46" s="87"/>
      <c r="Q46" s="72" t="s">
        <v>240</v>
      </c>
      <c r="R46" s="84"/>
      <c r="S46" s="85"/>
      <c r="T46" s="86"/>
      <c r="U46" s="87"/>
    </row>
    <row r="47" spans="1:21">
      <c r="A47" s="72" t="s">
        <v>240</v>
      </c>
      <c r="B47" s="84"/>
      <c r="C47" s="85"/>
      <c r="D47" s="86"/>
      <c r="E47" s="87"/>
      <c r="I47" s="72" t="s">
        <v>240</v>
      </c>
      <c r="J47" s="84"/>
      <c r="K47" s="85"/>
      <c r="L47" s="86"/>
      <c r="M47" s="87"/>
      <c r="Q47" s="72" t="s">
        <v>240</v>
      </c>
      <c r="R47" s="84"/>
      <c r="S47" s="85"/>
      <c r="T47" s="86"/>
      <c r="U47" s="87"/>
    </row>
    <row r="48" spans="1:21">
      <c r="A48" s="42"/>
      <c r="B48" s="80"/>
      <c r="C48" s="81"/>
      <c r="D48" s="82"/>
      <c r="E48" s="83"/>
      <c r="I48" s="42"/>
      <c r="J48" s="80"/>
      <c r="K48" s="81"/>
      <c r="L48" s="82"/>
      <c r="M48" s="83"/>
      <c r="Q48" s="42"/>
      <c r="R48" s="80"/>
      <c r="S48" s="81"/>
      <c r="T48" s="82"/>
      <c r="U48" s="83"/>
    </row>
    <row r="49" spans="1:21">
      <c r="A49" s="42"/>
      <c r="B49" s="80"/>
      <c r="C49" s="81"/>
      <c r="D49" s="82"/>
      <c r="E49" s="83"/>
      <c r="I49" s="42"/>
      <c r="J49" s="80"/>
      <c r="K49" s="81"/>
      <c r="L49" s="82"/>
      <c r="M49" s="83"/>
      <c r="Q49" s="42"/>
      <c r="R49" s="80"/>
      <c r="S49" s="81"/>
      <c r="T49" s="82"/>
      <c r="U49" s="83"/>
    </row>
    <row r="50" spans="1:21">
      <c r="A50" s="67" t="s">
        <v>242</v>
      </c>
      <c r="B50" s="84"/>
      <c r="C50" s="85"/>
      <c r="D50" s="86"/>
      <c r="E50" s="87">
        <f>SUM(E30:E47)</f>
        <v>255</v>
      </c>
      <c r="I50" s="67" t="s">
        <v>242</v>
      </c>
      <c r="J50" s="84"/>
      <c r="K50" s="85"/>
      <c r="L50" s="86"/>
      <c r="M50" s="87">
        <f>SUM(M30:M47)</f>
        <v>414</v>
      </c>
      <c r="Q50" s="67" t="s">
        <v>242</v>
      </c>
      <c r="R50" s="84"/>
      <c r="S50" s="85"/>
      <c r="T50" s="86"/>
      <c r="U50" s="87">
        <f>SUM(U30:U47)</f>
        <v>277</v>
      </c>
    </row>
    <row r="51" spans="1:21">
      <c r="A51" s="67" t="s">
        <v>243</v>
      </c>
      <c r="B51" s="84"/>
      <c r="C51" s="85"/>
      <c r="D51" s="86"/>
      <c r="E51" s="87">
        <v>4</v>
      </c>
      <c r="I51" s="67" t="s">
        <v>243</v>
      </c>
      <c r="J51" s="84"/>
      <c r="K51" s="85"/>
      <c r="L51" s="86"/>
      <c r="M51" s="87">
        <v>8</v>
      </c>
      <c r="Q51" s="67" t="s">
        <v>243</v>
      </c>
      <c r="R51" s="84"/>
      <c r="S51" s="85"/>
      <c r="T51" s="86"/>
      <c r="U51" s="87">
        <v>5</v>
      </c>
    </row>
    <row r="53" spans="1:21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42"/>
      <c r="J53" s="43" t="s">
        <v>215</v>
      </c>
      <c r="K53" s="65" t="s">
        <v>216</v>
      </c>
      <c r="L53" s="66" t="s">
        <v>217</v>
      </c>
      <c r="M53" s="45" t="s">
        <v>218</v>
      </c>
      <c r="Q53" s="42"/>
      <c r="R53" s="43" t="s">
        <v>215</v>
      </c>
      <c r="S53" s="65" t="s">
        <v>216</v>
      </c>
      <c r="T53" s="66" t="s">
        <v>217</v>
      </c>
      <c r="U53" s="45" t="s">
        <v>218</v>
      </c>
    </row>
    <row r="54" spans="1:21">
      <c r="A54" s="67" t="s">
        <v>219</v>
      </c>
      <c r="B54" s="68"/>
      <c r="C54" s="69"/>
      <c r="D54" s="70"/>
      <c r="E54" s="71"/>
      <c r="I54" s="67" t="s">
        <v>219</v>
      </c>
      <c r="J54" s="68"/>
      <c r="K54" s="69"/>
      <c r="L54" s="70"/>
      <c r="M54" s="71"/>
      <c r="Q54" s="67" t="s">
        <v>219</v>
      </c>
      <c r="R54" s="68"/>
      <c r="S54" s="69"/>
      <c r="T54" s="70"/>
      <c r="U54" s="71"/>
    </row>
    <row r="55" spans="1:21">
      <c r="A55" s="72" t="s">
        <v>220</v>
      </c>
      <c r="B55" s="111" t="s">
        <v>100</v>
      </c>
      <c r="C55" s="254" t="s">
        <v>378</v>
      </c>
      <c r="D55" s="115" t="s">
        <v>142</v>
      </c>
      <c r="E55" s="107">
        <v>21</v>
      </c>
      <c r="I55" s="72" t="s">
        <v>220</v>
      </c>
      <c r="J55" s="111" t="s">
        <v>100</v>
      </c>
      <c r="K55" s="254" t="s">
        <v>379</v>
      </c>
      <c r="L55" s="115" t="s">
        <v>142</v>
      </c>
      <c r="M55" s="107">
        <v>35</v>
      </c>
      <c r="Q55" s="72" t="s">
        <v>220</v>
      </c>
      <c r="R55" s="111" t="s">
        <v>373</v>
      </c>
      <c r="S55" s="114" t="s">
        <v>365</v>
      </c>
      <c r="T55" s="115" t="s">
        <v>127</v>
      </c>
      <c r="U55" s="107">
        <v>21</v>
      </c>
    </row>
    <row r="56" spans="1:21" ht="45.75">
      <c r="A56" s="72" t="s">
        <v>252</v>
      </c>
      <c r="B56" s="111" t="s">
        <v>145</v>
      </c>
      <c r="C56" s="255" t="s">
        <v>380</v>
      </c>
      <c r="D56" s="117" t="s">
        <v>142</v>
      </c>
      <c r="E56" s="107">
        <v>45</v>
      </c>
      <c r="I56" s="72" t="s">
        <v>250</v>
      </c>
      <c r="J56" s="111" t="s">
        <v>145</v>
      </c>
      <c r="K56" s="280" t="s">
        <v>381</v>
      </c>
      <c r="L56" s="117" t="s">
        <v>142</v>
      </c>
      <c r="M56" s="107">
        <v>50</v>
      </c>
      <c r="Q56" s="72" t="s">
        <v>252</v>
      </c>
      <c r="R56" s="111" t="s">
        <v>352</v>
      </c>
      <c r="S56" s="116" t="s">
        <v>382</v>
      </c>
      <c r="T56" s="117" t="s">
        <v>127</v>
      </c>
      <c r="U56" s="107">
        <v>45</v>
      </c>
    </row>
    <row r="57" spans="1:21">
      <c r="A57" s="72" t="s">
        <v>254</v>
      </c>
      <c r="B57" s="111" t="s">
        <v>145</v>
      </c>
      <c r="C57" s="255" t="s">
        <v>380</v>
      </c>
      <c r="D57" s="117" t="s">
        <v>142</v>
      </c>
      <c r="E57" s="107">
        <v>45</v>
      </c>
      <c r="I57" s="79"/>
      <c r="J57" s="80"/>
      <c r="K57" s="81"/>
      <c r="L57" s="82"/>
      <c r="M57" s="83"/>
      <c r="Q57" s="72" t="s">
        <v>254</v>
      </c>
      <c r="R57" s="111" t="s">
        <v>352</v>
      </c>
      <c r="S57" s="116" t="s">
        <v>383</v>
      </c>
      <c r="T57" s="117" t="s">
        <v>127</v>
      </c>
      <c r="U57" s="107">
        <v>50</v>
      </c>
    </row>
    <row r="58" spans="1:21">
      <c r="A58" s="79"/>
      <c r="B58" s="80"/>
      <c r="C58" s="81"/>
      <c r="D58" s="82"/>
      <c r="E58" s="83"/>
      <c r="I58" s="67" t="s">
        <v>234</v>
      </c>
      <c r="J58" s="80"/>
      <c r="K58" s="81"/>
      <c r="L58" s="82"/>
      <c r="M58" s="83"/>
      <c r="Q58" s="79"/>
      <c r="R58" s="80"/>
      <c r="S58" s="81"/>
      <c r="T58" s="82"/>
      <c r="U58" s="83"/>
    </row>
    <row r="59" spans="1:21">
      <c r="A59" s="67" t="s">
        <v>234</v>
      </c>
      <c r="B59" s="80"/>
      <c r="C59" s="81"/>
      <c r="D59" s="82"/>
      <c r="E59" s="83"/>
      <c r="I59" s="72" t="s">
        <v>250</v>
      </c>
      <c r="J59" s="84" t="s">
        <v>145</v>
      </c>
      <c r="K59" s="125" t="s">
        <v>381</v>
      </c>
      <c r="L59" s="89" t="s">
        <v>142</v>
      </c>
      <c r="M59" s="87">
        <v>50</v>
      </c>
      <c r="Q59" s="67" t="s">
        <v>234</v>
      </c>
      <c r="R59" s="80"/>
      <c r="S59" s="81"/>
      <c r="T59" s="82"/>
      <c r="U59" s="83"/>
    </row>
    <row r="60" spans="1:21">
      <c r="A60" s="72" t="s">
        <v>256</v>
      </c>
      <c r="B60" s="84"/>
      <c r="C60" s="85"/>
      <c r="D60" s="86"/>
      <c r="E60" s="87"/>
      <c r="I60" s="72" t="s">
        <v>250</v>
      </c>
      <c r="J60" s="84" t="s">
        <v>100</v>
      </c>
      <c r="K60" s="234" t="s">
        <v>384</v>
      </c>
      <c r="L60" s="86" t="s">
        <v>142</v>
      </c>
      <c r="M60" s="87">
        <v>46</v>
      </c>
      <c r="Q60" s="72" t="s">
        <v>256</v>
      </c>
      <c r="R60" s="84" t="s">
        <v>352</v>
      </c>
      <c r="S60" s="85" t="s">
        <v>385</v>
      </c>
      <c r="T60" s="86" t="s">
        <v>127</v>
      </c>
      <c r="U60" s="87">
        <v>70</v>
      </c>
    </row>
    <row r="61" spans="1:21">
      <c r="A61" s="72" t="s">
        <v>256</v>
      </c>
      <c r="B61" s="84"/>
      <c r="C61" s="85"/>
      <c r="D61" s="86"/>
      <c r="E61" s="87"/>
      <c r="I61" s="72" t="s">
        <v>250</v>
      </c>
      <c r="J61" s="84"/>
      <c r="K61" s="85"/>
      <c r="L61" s="86"/>
      <c r="M61" s="87"/>
      <c r="Q61" s="72" t="s">
        <v>256</v>
      </c>
      <c r="R61" s="84"/>
      <c r="S61" s="85"/>
      <c r="T61" s="86"/>
      <c r="U61" s="87"/>
    </row>
    <row r="62" spans="1:21">
      <c r="A62" s="72" t="s">
        <v>256</v>
      </c>
      <c r="B62" s="84"/>
      <c r="C62" s="85"/>
      <c r="D62" s="86"/>
      <c r="E62" s="87"/>
      <c r="I62" s="72" t="s">
        <v>271</v>
      </c>
      <c r="J62" s="84"/>
      <c r="K62" s="85"/>
      <c r="L62" s="86"/>
      <c r="M62" s="87"/>
      <c r="Q62" s="72" t="s">
        <v>256</v>
      </c>
      <c r="R62" s="84"/>
      <c r="S62" s="85"/>
      <c r="T62" s="86"/>
      <c r="U62" s="87"/>
    </row>
    <row r="63" spans="1:21">
      <c r="A63" s="72" t="s">
        <v>271</v>
      </c>
      <c r="B63" s="84"/>
      <c r="C63" s="85"/>
      <c r="D63" s="86"/>
      <c r="E63" s="87"/>
      <c r="I63" s="72" t="s">
        <v>271</v>
      </c>
      <c r="J63" s="84"/>
      <c r="K63" s="85"/>
      <c r="L63" s="86"/>
      <c r="M63" s="87"/>
      <c r="Q63" s="72" t="s">
        <v>271</v>
      </c>
      <c r="R63" s="84"/>
      <c r="S63" s="85"/>
      <c r="T63" s="86"/>
      <c r="U63" s="87"/>
    </row>
    <row r="64" spans="1:21">
      <c r="A64" s="72" t="s">
        <v>271</v>
      </c>
      <c r="B64" s="84"/>
      <c r="C64" s="85"/>
      <c r="D64" s="86"/>
      <c r="E64" s="87"/>
      <c r="I64" s="72" t="s">
        <v>271</v>
      </c>
      <c r="J64" s="84"/>
      <c r="K64" s="85"/>
      <c r="L64" s="86"/>
      <c r="M64" s="87"/>
      <c r="Q64" s="72" t="s">
        <v>271</v>
      </c>
      <c r="R64" s="84"/>
      <c r="S64" s="85"/>
      <c r="T64" s="86"/>
      <c r="U64" s="87"/>
    </row>
    <row r="65" spans="1:21">
      <c r="A65" s="72" t="s">
        <v>271</v>
      </c>
      <c r="B65" s="84"/>
      <c r="C65" s="85"/>
      <c r="D65" s="86"/>
      <c r="E65" s="87"/>
      <c r="I65" s="72" t="s">
        <v>271</v>
      </c>
      <c r="J65" s="84"/>
      <c r="K65" s="85"/>
      <c r="L65" s="86"/>
      <c r="M65" s="87"/>
      <c r="Q65" s="72" t="s">
        <v>271</v>
      </c>
      <c r="R65" s="84"/>
      <c r="S65" s="85"/>
      <c r="T65" s="86"/>
      <c r="U65" s="87"/>
    </row>
    <row r="66" spans="1:21">
      <c r="A66" s="72" t="s">
        <v>271</v>
      </c>
      <c r="B66" s="84"/>
      <c r="C66" s="85"/>
      <c r="D66" s="86"/>
      <c r="E66" s="87"/>
      <c r="I66" s="42"/>
      <c r="J66" s="80"/>
      <c r="K66" s="81"/>
      <c r="L66" s="82"/>
      <c r="M66" s="83"/>
      <c r="Q66" s="72" t="s">
        <v>271</v>
      </c>
      <c r="R66" s="84"/>
      <c r="S66" s="85"/>
      <c r="T66" s="86"/>
      <c r="U66" s="87"/>
    </row>
    <row r="67" spans="1:21">
      <c r="A67" s="72" t="s">
        <v>271</v>
      </c>
      <c r="B67" s="84"/>
      <c r="C67" s="85"/>
      <c r="D67" s="86"/>
      <c r="E67" s="87"/>
      <c r="I67" s="42"/>
      <c r="J67" s="80"/>
      <c r="K67" s="81"/>
      <c r="L67" s="82"/>
      <c r="M67" s="83"/>
      <c r="Q67" s="72" t="s">
        <v>271</v>
      </c>
      <c r="R67" s="84"/>
      <c r="S67" s="85"/>
      <c r="T67" s="86"/>
      <c r="U67" s="87"/>
    </row>
    <row r="68" spans="1:21">
      <c r="A68" s="42"/>
      <c r="B68" s="80"/>
      <c r="C68" s="81"/>
      <c r="D68" s="82"/>
      <c r="E68" s="83"/>
      <c r="I68" s="67" t="s">
        <v>242</v>
      </c>
      <c r="J68" s="84"/>
      <c r="K68" s="85"/>
      <c r="L68" s="86"/>
      <c r="M68" s="87">
        <f>SUM(M55:M67)</f>
        <v>181</v>
      </c>
      <c r="Q68" s="42"/>
      <c r="R68" s="80"/>
      <c r="S68" s="81"/>
      <c r="T68" s="82"/>
      <c r="U68" s="83"/>
    </row>
    <row r="69" spans="1:21">
      <c r="A69" s="42"/>
      <c r="B69" s="80"/>
      <c r="C69" s="81"/>
      <c r="D69" s="82"/>
      <c r="E69" s="83"/>
      <c r="I69" s="67" t="s">
        <v>243</v>
      </c>
      <c r="J69" s="84"/>
      <c r="K69" s="85"/>
      <c r="L69" s="86"/>
      <c r="M69" s="87">
        <v>4</v>
      </c>
      <c r="Q69" s="42"/>
      <c r="R69" s="80"/>
      <c r="S69" s="81"/>
      <c r="T69" s="82"/>
      <c r="U69" s="83"/>
    </row>
    <row r="70" spans="1:21">
      <c r="A70" s="67" t="s">
        <v>242</v>
      </c>
      <c r="B70" s="84"/>
      <c r="C70" s="85"/>
      <c r="D70" s="86"/>
      <c r="E70" s="87">
        <f>SUM(E55:E69)</f>
        <v>111</v>
      </c>
      <c r="Q70" s="67" t="s">
        <v>242</v>
      </c>
      <c r="R70" s="84"/>
      <c r="S70" s="85"/>
      <c r="T70" s="86"/>
      <c r="U70" s="87">
        <f>SUM(U55:U69)</f>
        <v>186</v>
      </c>
    </row>
    <row r="71" spans="1:21">
      <c r="A71" s="67" t="s">
        <v>243</v>
      </c>
      <c r="B71" s="84"/>
      <c r="C71" s="85"/>
      <c r="D71" s="86"/>
      <c r="E71" s="87">
        <v>3</v>
      </c>
      <c r="Q71" s="67" t="s">
        <v>243</v>
      </c>
      <c r="R71" s="84"/>
      <c r="S71" s="85"/>
      <c r="T71" s="86"/>
      <c r="U71" s="87">
        <v>4</v>
      </c>
    </row>
    <row r="73" spans="1:21" ht="76.5">
      <c r="A73" s="42"/>
      <c r="B73" s="43" t="s">
        <v>215</v>
      </c>
      <c r="C73" s="65" t="s">
        <v>216</v>
      </c>
      <c r="D73" s="66" t="s">
        <v>217</v>
      </c>
      <c r="E73" s="45" t="s">
        <v>218</v>
      </c>
      <c r="I73" s="90"/>
      <c r="J73" s="91"/>
      <c r="K73" s="92" t="s">
        <v>274</v>
      </c>
      <c r="L73" s="103"/>
      <c r="Q73" s="42"/>
      <c r="R73" s="43" t="s">
        <v>215</v>
      </c>
      <c r="S73" s="65" t="s">
        <v>216</v>
      </c>
      <c r="T73" s="66" t="s">
        <v>217</v>
      </c>
      <c r="U73" s="45" t="s">
        <v>218</v>
      </c>
    </row>
    <row r="74" spans="1:21">
      <c r="A74" s="67" t="s">
        <v>219</v>
      </c>
      <c r="B74" s="68"/>
      <c r="C74" s="69"/>
      <c r="D74" s="70"/>
      <c r="E74" s="71"/>
      <c r="I74" s="67" t="s">
        <v>275</v>
      </c>
      <c r="J74" s="111" t="s">
        <v>386</v>
      </c>
      <c r="K74" s="81"/>
      <c r="L74" s="103"/>
      <c r="Q74" s="67" t="s">
        <v>219</v>
      </c>
      <c r="R74" s="68"/>
      <c r="S74" s="69"/>
      <c r="T74" s="70"/>
      <c r="U74" s="71"/>
    </row>
    <row r="75" spans="1:21">
      <c r="A75" s="72" t="s">
        <v>220</v>
      </c>
      <c r="B75" s="111" t="s">
        <v>100</v>
      </c>
      <c r="C75" s="254" t="s">
        <v>362</v>
      </c>
      <c r="D75" s="115" t="s">
        <v>142</v>
      </c>
      <c r="E75" s="107">
        <v>21</v>
      </c>
      <c r="I75" s="67" t="s">
        <v>277</v>
      </c>
      <c r="J75" s="111" t="s">
        <v>129</v>
      </c>
      <c r="K75" s="81"/>
      <c r="L75" s="103"/>
      <c r="Q75" s="72" t="s">
        <v>220</v>
      </c>
      <c r="R75" s="111" t="s">
        <v>387</v>
      </c>
      <c r="S75" s="114" t="s">
        <v>365</v>
      </c>
      <c r="T75" s="115" t="s">
        <v>127</v>
      </c>
      <c r="U75" s="107">
        <v>21</v>
      </c>
    </row>
    <row r="76" spans="1:21">
      <c r="A76" s="72" t="s">
        <v>250</v>
      </c>
      <c r="B76" s="111" t="s">
        <v>145</v>
      </c>
      <c r="C76" s="280" t="s">
        <v>388</v>
      </c>
      <c r="D76" s="117" t="s">
        <v>142</v>
      </c>
      <c r="E76" s="107">
        <v>55</v>
      </c>
      <c r="I76" s="67" t="s">
        <v>278</v>
      </c>
      <c r="J76" s="111"/>
      <c r="K76" s="81"/>
      <c r="L76" s="103"/>
      <c r="Q76" s="72" t="s">
        <v>250</v>
      </c>
      <c r="R76" s="111" t="s">
        <v>352</v>
      </c>
      <c r="S76" s="111" t="s">
        <v>389</v>
      </c>
      <c r="T76" s="117" t="s">
        <v>127</v>
      </c>
      <c r="U76" s="107">
        <v>70</v>
      </c>
    </row>
    <row r="77" spans="1:21">
      <c r="A77" s="79"/>
      <c r="B77" s="80"/>
      <c r="C77" s="81"/>
      <c r="D77" s="82"/>
      <c r="E77" s="83"/>
      <c r="I77" s="67" t="s">
        <v>282</v>
      </c>
      <c r="J77" s="111" t="s">
        <v>32</v>
      </c>
      <c r="K77" s="81"/>
      <c r="L77" s="103"/>
      <c r="Q77" s="79"/>
      <c r="R77" s="80"/>
      <c r="S77" s="81"/>
      <c r="T77" s="82"/>
      <c r="U77" s="83"/>
    </row>
    <row r="78" spans="1:21">
      <c r="A78" s="67" t="s">
        <v>234</v>
      </c>
      <c r="B78" s="80"/>
      <c r="C78" s="81"/>
      <c r="D78" s="82"/>
      <c r="E78" s="83"/>
      <c r="I78" s="93"/>
      <c r="J78" s="80"/>
      <c r="K78" s="81"/>
      <c r="L78" s="103"/>
      <c r="Q78" s="67" t="s">
        <v>234</v>
      </c>
      <c r="R78" s="80"/>
      <c r="S78" s="81"/>
      <c r="T78" s="82"/>
      <c r="U78" s="83"/>
    </row>
    <row r="79" spans="1:21">
      <c r="A79" s="72" t="s">
        <v>250</v>
      </c>
      <c r="B79" s="84" t="s">
        <v>145</v>
      </c>
      <c r="C79" s="125" t="s">
        <v>390</v>
      </c>
      <c r="D79" s="89" t="s">
        <v>142</v>
      </c>
      <c r="E79" s="87">
        <v>55</v>
      </c>
      <c r="I79" s="112" t="s">
        <v>284</v>
      </c>
      <c r="J79" s="112"/>
      <c r="K79" s="112"/>
      <c r="L79" s="103"/>
      <c r="Q79" s="72" t="s">
        <v>250</v>
      </c>
      <c r="R79" s="84" t="s">
        <v>352</v>
      </c>
      <c r="S79" s="84" t="s">
        <v>391</v>
      </c>
      <c r="T79" s="89" t="s">
        <v>127</v>
      </c>
      <c r="U79" s="87">
        <v>55</v>
      </c>
    </row>
    <row r="80" spans="1:21">
      <c r="A80" s="72" t="s">
        <v>250</v>
      </c>
      <c r="B80" s="84" t="s">
        <v>145</v>
      </c>
      <c r="C80" s="125" t="s">
        <v>390</v>
      </c>
      <c r="D80" s="89" t="s">
        <v>142</v>
      </c>
      <c r="E80" s="87">
        <v>55</v>
      </c>
      <c r="I80" s="112"/>
      <c r="J80" s="112" t="s">
        <v>285</v>
      </c>
      <c r="K80" s="112" t="s">
        <v>15</v>
      </c>
      <c r="L80" s="112" t="s">
        <v>5</v>
      </c>
      <c r="Q80" s="72" t="s">
        <v>250</v>
      </c>
      <c r="R80" s="84" t="s">
        <v>392</v>
      </c>
      <c r="S80" s="85" t="s">
        <v>251</v>
      </c>
      <c r="T80" s="86" t="s">
        <v>127</v>
      </c>
      <c r="U80" s="87">
        <v>46</v>
      </c>
    </row>
    <row r="81" spans="1:21">
      <c r="A81" s="72" t="s">
        <v>250</v>
      </c>
      <c r="B81" s="84"/>
      <c r="C81" s="85"/>
      <c r="D81" s="86"/>
      <c r="E81" s="87"/>
      <c r="I81" s="113" t="s">
        <v>393</v>
      </c>
      <c r="J81" s="113">
        <v>56</v>
      </c>
      <c r="K81" s="113">
        <v>1</v>
      </c>
      <c r="L81" s="113" t="s">
        <v>394</v>
      </c>
      <c r="Q81" s="72" t="s">
        <v>250</v>
      </c>
      <c r="R81" s="84"/>
      <c r="S81" s="85"/>
      <c r="T81" s="86"/>
      <c r="U81" s="87"/>
    </row>
    <row r="82" spans="1:21">
      <c r="A82" s="72" t="s">
        <v>271</v>
      </c>
      <c r="B82" s="84" t="s">
        <v>145</v>
      </c>
      <c r="C82" s="234" t="s">
        <v>395</v>
      </c>
      <c r="D82" s="86" t="s">
        <v>142</v>
      </c>
      <c r="E82" s="87">
        <v>5</v>
      </c>
      <c r="I82" s="113" t="s">
        <v>286</v>
      </c>
      <c r="J82" s="113">
        <v>450</v>
      </c>
      <c r="K82" s="113">
        <v>9</v>
      </c>
      <c r="L82" s="113"/>
      <c r="Q82" s="72" t="s">
        <v>271</v>
      </c>
      <c r="R82" s="84"/>
      <c r="S82" s="85"/>
      <c r="T82" s="86"/>
      <c r="U82" s="87"/>
    </row>
    <row r="83" spans="1:21">
      <c r="A83" s="72" t="s">
        <v>271</v>
      </c>
      <c r="B83" s="84"/>
      <c r="C83" s="85"/>
      <c r="D83" s="86"/>
      <c r="E83" s="87"/>
      <c r="I83" s="113" t="s">
        <v>287</v>
      </c>
      <c r="J83" s="113">
        <v>413</v>
      </c>
      <c r="K83" s="113">
        <v>8</v>
      </c>
      <c r="L83" s="113"/>
      <c r="Q83" s="72" t="s">
        <v>271</v>
      </c>
      <c r="R83" s="84"/>
      <c r="S83" s="85"/>
      <c r="T83" s="86"/>
      <c r="U83" s="87"/>
    </row>
    <row r="84" spans="1:21">
      <c r="A84" s="72" t="s">
        <v>271</v>
      </c>
      <c r="B84" s="84"/>
      <c r="C84" s="85"/>
      <c r="D84" s="86"/>
      <c r="E84" s="87"/>
      <c r="I84" s="113" t="s">
        <v>289</v>
      </c>
      <c r="J84" s="113">
        <v>0</v>
      </c>
      <c r="K84" s="113">
        <v>0</v>
      </c>
      <c r="L84" s="113"/>
      <c r="Q84" s="72" t="s">
        <v>271</v>
      </c>
      <c r="R84" s="84"/>
      <c r="S84" s="85"/>
      <c r="T84" s="86"/>
      <c r="U84" s="87"/>
    </row>
    <row r="85" spans="1:21">
      <c r="A85" s="72" t="s">
        <v>271</v>
      </c>
      <c r="B85" s="84"/>
      <c r="C85" s="85"/>
      <c r="D85" s="86"/>
      <c r="E85" s="87"/>
      <c r="I85" s="113" t="s">
        <v>396</v>
      </c>
      <c r="J85" s="113">
        <v>0</v>
      </c>
      <c r="K85" s="113">
        <v>0</v>
      </c>
      <c r="L85" s="113"/>
      <c r="Q85" s="72" t="s">
        <v>271</v>
      </c>
      <c r="R85" s="84"/>
      <c r="S85" s="85"/>
      <c r="T85" s="86"/>
      <c r="U85" s="87"/>
    </row>
    <row r="86" spans="1:21">
      <c r="A86" s="42"/>
      <c r="B86" s="80"/>
      <c r="C86" s="81"/>
      <c r="D86" s="82"/>
      <c r="E86" s="83"/>
      <c r="I86" s="113" t="s">
        <v>397</v>
      </c>
      <c r="J86" s="113">
        <v>0</v>
      </c>
      <c r="K86" s="113">
        <v>0</v>
      </c>
      <c r="L86" s="113"/>
      <c r="Q86" s="42"/>
      <c r="R86" s="80"/>
      <c r="S86" s="81"/>
      <c r="T86" s="82"/>
      <c r="U86" s="83"/>
    </row>
    <row r="87" spans="1:21">
      <c r="A87" s="42"/>
      <c r="B87" s="80"/>
      <c r="C87" s="81"/>
      <c r="D87" s="82"/>
      <c r="E87" s="83"/>
      <c r="I87" s="113" t="s">
        <v>291</v>
      </c>
      <c r="J87" s="113">
        <v>0</v>
      </c>
      <c r="K87" s="113">
        <v>0</v>
      </c>
      <c r="L87" s="113"/>
      <c r="Q87" s="42"/>
      <c r="R87" s="80"/>
      <c r="S87" s="81"/>
      <c r="T87" s="82"/>
      <c r="U87" s="83"/>
    </row>
    <row r="88" spans="1:21">
      <c r="A88" s="67" t="s">
        <v>242</v>
      </c>
      <c r="B88" s="84"/>
      <c r="C88" s="85"/>
      <c r="D88" s="86"/>
      <c r="E88" s="87">
        <f>SUM(E75:E85)</f>
        <v>191</v>
      </c>
      <c r="I88" s="113" t="s">
        <v>288</v>
      </c>
      <c r="J88" s="113">
        <v>181</v>
      </c>
      <c r="K88" s="113">
        <v>4</v>
      </c>
      <c r="L88" s="113"/>
      <c r="Q88" s="67" t="s">
        <v>242</v>
      </c>
      <c r="R88" s="84"/>
      <c r="S88" s="85"/>
      <c r="T88" s="86"/>
      <c r="U88" s="87">
        <f>SUM(U75:U87)</f>
        <v>192</v>
      </c>
    </row>
    <row r="89" spans="1:21">
      <c r="A89" s="67" t="s">
        <v>243</v>
      </c>
      <c r="B89" s="84"/>
      <c r="C89" s="85"/>
      <c r="D89" s="86"/>
      <c r="E89" s="87">
        <v>5</v>
      </c>
      <c r="I89" s="113" t="s">
        <v>398</v>
      </c>
      <c r="J89" s="113">
        <v>0</v>
      </c>
      <c r="K89" s="113">
        <v>0</v>
      </c>
      <c r="L89" s="113"/>
      <c r="Q89" s="67" t="s">
        <v>243</v>
      </c>
      <c r="R89" s="84"/>
      <c r="S89" s="85"/>
      <c r="T89" s="86"/>
      <c r="U89" s="87">
        <v>4</v>
      </c>
    </row>
    <row r="90" spans="1:21">
      <c r="I90" s="113" t="s">
        <v>290</v>
      </c>
      <c r="J90" s="113">
        <v>0</v>
      </c>
      <c r="K90" s="113">
        <v>0</v>
      </c>
      <c r="L90" s="113"/>
    </row>
    <row r="91" spans="1:21" ht="76.5">
      <c r="A91" s="90"/>
      <c r="B91" s="91"/>
      <c r="C91" s="92" t="s">
        <v>274</v>
      </c>
      <c r="D91" s="103"/>
      <c r="I91" s="113" t="s">
        <v>399</v>
      </c>
      <c r="J91" s="113">
        <v>0</v>
      </c>
      <c r="K91" s="113">
        <v>0</v>
      </c>
      <c r="L91" s="113"/>
      <c r="Q91" s="112" t="s">
        <v>284</v>
      </c>
      <c r="R91" s="112"/>
      <c r="S91" s="112"/>
      <c r="T91" s="103"/>
    </row>
    <row r="92" spans="1:21">
      <c r="A92" s="67" t="s">
        <v>275</v>
      </c>
      <c r="B92" s="111" t="s">
        <v>386</v>
      </c>
      <c r="C92" s="81"/>
      <c r="D92" s="103"/>
      <c r="I92" s="113" t="s">
        <v>400</v>
      </c>
      <c r="J92" s="113">
        <v>0</v>
      </c>
      <c r="K92" s="113">
        <v>0</v>
      </c>
      <c r="L92" s="113"/>
      <c r="Q92" s="112"/>
      <c r="R92" s="112" t="s">
        <v>285</v>
      </c>
      <c r="S92" s="112" t="s">
        <v>15</v>
      </c>
      <c r="T92" s="112" t="s">
        <v>5</v>
      </c>
    </row>
    <row r="93" spans="1:21">
      <c r="A93" s="67" t="s">
        <v>277</v>
      </c>
      <c r="B93" s="111" t="s">
        <v>159</v>
      </c>
      <c r="C93" s="81"/>
      <c r="D93" s="103"/>
      <c r="I93" s="113" t="s">
        <v>400</v>
      </c>
      <c r="J93" s="113">
        <v>0</v>
      </c>
      <c r="K93" s="113">
        <v>0</v>
      </c>
      <c r="L93" s="113"/>
      <c r="Q93" s="113" t="s">
        <v>393</v>
      </c>
      <c r="R93" s="113">
        <v>42</v>
      </c>
      <c r="S93" s="113">
        <v>1</v>
      </c>
      <c r="T93" s="113"/>
    </row>
    <row r="94" spans="1:21">
      <c r="A94" s="67" t="s">
        <v>278</v>
      </c>
      <c r="B94" s="111"/>
      <c r="C94" s="81"/>
      <c r="D94" s="103"/>
      <c r="I94" s="113"/>
      <c r="J94" s="112">
        <f>SUM(J81:J93)</f>
        <v>1100</v>
      </c>
      <c r="K94" s="112">
        <v>22</v>
      </c>
      <c r="L94" s="113"/>
      <c r="Q94" s="113" t="s">
        <v>286</v>
      </c>
      <c r="R94" s="113">
        <f>U25</f>
        <v>402</v>
      </c>
      <c r="S94" s="113">
        <v>9</v>
      </c>
      <c r="T94" s="113"/>
    </row>
    <row r="95" spans="1:21">
      <c r="A95" s="67" t="s">
        <v>282</v>
      </c>
      <c r="B95" s="111" t="s">
        <v>401</v>
      </c>
      <c r="C95" s="81"/>
      <c r="D95" s="103"/>
      <c r="Q95" s="113" t="s">
        <v>287</v>
      </c>
      <c r="R95" s="113">
        <f>U50</f>
        <v>277</v>
      </c>
      <c r="S95" s="113">
        <v>8</v>
      </c>
      <c r="T95" s="113"/>
    </row>
    <row r="96" spans="1:21">
      <c r="A96" s="93"/>
      <c r="B96" s="80"/>
      <c r="C96" s="81"/>
      <c r="D96" s="103"/>
      <c r="Q96" s="113" t="s">
        <v>289</v>
      </c>
      <c r="R96" s="113">
        <f>U70</f>
        <v>186</v>
      </c>
      <c r="S96" s="113">
        <v>0</v>
      </c>
      <c r="T96" s="113"/>
    </row>
    <row r="97" spans="1:20">
      <c r="A97" s="112" t="s">
        <v>284</v>
      </c>
      <c r="B97" s="112"/>
      <c r="C97" s="112"/>
      <c r="D97" s="103"/>
      <c r="Q97" s="113" t="s">
        <v>396</v>
      </c>
      <c r="R97" s="113">
        <v>0</v>
      </c>
      <c r="S97" s="113">
        <v>0</v>
      </c>
      <c r="T97" s="113"/>
    </row>
    <row r="98" spans="1:20">
      <c r="A98" s="112"/>
      <c r="B98" s="112" t="s">
        <v>285</v>
      </c>
      <c r="C98" s="112" t="s">
        <v>15</v>
      </c>
      <c r="D98" s="112" t="s">
        <v>5</v>
      </c>
      <c r="Q98" s="113" t="s">
        <v>397</v>
      </c>
      <c r="R98" s="113">
        <v>0</v>
      </c>
      <c r="S98" s="113">
        <v>0</v>
      </c>
      <c r="T98" s="113"/>
    </row>
    <row r="99" spans="1:20">
      <c r="A99" s="113" t="s">
        <v>393</v>
      </c>
      <c r="B99" s="113">
        <v>0</v>
      </c>
      <c r="C99" s="113">
        <v>0</v>
      </c>
      <c r="D99" s="113"/>
      <c r="Q99" s="113" t="s">
        <v>291</v>
      </c>
      <c r="R99" s="113">
        <v>0</v>
      </c>
      <c r="S99" s="113">
        <v>0</v>
      </c>
      <c r="T99" s="113"/>
    </row>
    <row r="100" spans="1:20">
      <c r="A100" s="113" t="s">
        <v>286</v>
      </c>
      <c r="B100" s="113">
        <v>542</v>
      </c>
      <c r="C100" s="113">
        <v>6</v>
      </c>
      <c r="D100" s="113"/>
      <c r="Q100" s="113" t="s">
        <v>288</v>
      </c>
      <c r="R100" s="113">
        <f>U88</f>
        <v>192</v>
      </c>
      <c r="S100" s="113">
        <v>4</v>
      </c>
      <c r="T100" s="113"/>
    </row>
    <row r="101" spans="1:20">
      <c r="A101" s="113" t="s">
        <v>287</v>
      </c>
      <c r="B101" s="113">
        <v>255</v>
      </c>
      <c r="C101" s="113">
        <v>4</v>
      </c>
      <c r="D101" s="113"/>
      <c r="Q101" s="113" t="s">
        <v>398</v>
      </c>
      <c r="R101" s="113">
        <v>0</v>
      </c>
      <c r="S101" s="113">
        <v>0</v>
      </c>
      <c r="T101" s="113"/>
    </row>
    <row r="102" spans="1:20">
      <c r="A102" s="113" t="s">
        <v>289</v>
      </c>
      <c r="B102" s="113">
        <v>111</v>
      </c>
      <c r="C102" s="113">
        <v>3</v>
      </c>
      <c r="D102" s="113"/>
      <c r="Q102" s="113" t="s">
        <v>290</v>
      </c>
      <c r="R102" s="113">
        <v>0</v>
      </c>
      <c r="S102" s="113">
        <v>0</v>
      </c>
      <c r="T102" s="113"/>
    </row>
    <row r="103" spans="1:20">
      <c r="A103" s="113" t="s">
        <v>396</v>
      </c>
      <c r="B103" s="113">
        <v>0</v>
      </c>
      <c r="C103" s="113">
        <v>0</v>
      </c>
      <c r="D103" s="113"/>
      <c r="Q103" s="113" t="s">
        <v>399</v>
      </c>
      <c r="R103" s="113">
        <v>0</v>
      </c>
      <c r="S103" s="113">
        <v>0</v>
      </c>
      <c r="T103" s="113"/>
    </row>
    <row r="104" spans="1:20">
      <c r="A104" s="113" t="s">
        <v>397</v>
      </c>
      <c r="B104" s="113">
        <v>0</v>
      </c>
      <c r="C104" s="113">
        <v>0</v>
      </c>
      <c r="D104" s="113"/>
      <c r="Q104" s="113" t="s">
        <v>400</v>
      </c>
      <c r="R104" s="113">
        <v>0</v>
      </c>
      <c r="S104" s="113">
        <v>0</v>
      </c>
      <c r="T104" s="113"/>
    </row>
    <row r="105" spans="1:20">
      <c r="A105" s="113" t="s">
        <v>291</v>
      </c>
      <c r="B105" s="113">
        <v>0</v>
      </c>
      <c r="C105" s="113">
        <v>0</v>
      </c>
      <c r="D105" s="113"/>
      <c r="Q105" s="113" t="s">
        <v>400</v>
      </c>
      <c r="R105" s="113">
        <v>0</v>
      </c>
      <c r="S105" s="113">
        <v>0</v>
      </c>
      <c r="T105" s="113"/>
    </row>
    <row r="106" spans="1:20">
      <c r="A106" s="113" t="s">
        <v>288</v>
      </c>
      <c r="B106" s="113">
        <v>191</v>
      </c>
      <c r="C106" s="113">
        <v>5</v>
      </c>
      <c r="D106" s="113"/>
      <c r="Q106" s="113"/>
      <c r="R106" s="112">
        <f>SUM(R93:R105)</f>
        <v>1099</v>
      </c>
      <c r="S106" s="112"/>
      <c r="T106" s="113"/>
    </row>
    <row r="107" spans="1:20">
      <c r="A107" s="113" t="s">
        <v>398</v>
      </c>
      <c r="B107" s="113">
        <v>0</v>
      </c>
      <c r="C107" s="113">
        <v>0</v>
      </c>
      <c r="D107" s="113"/>
    </row>
    <row r="108" spans="1:20">
      <c r="A108" s="113" t="s">
        <v>290</v>
      </c>
      <c r="B108" s="113">
        <v>0</v>
      </c>
      <c r="C108" s="113">
        <v>0</v>
      </c>
      <c r="D108" s="113"/>
    </row>
    <row r="109" spans="1:20">
      <c r="A109" s="113" t="s">
        <v>399</v>
      </c>
      <c r="B109" s="113">
        <v>0</v>
      </c>
      <c r="C109" s="113">
        <v>0</v>
      </c>
      <c r="D109" s="113"/>
    </row>
    <row r="110" spans="1:20">
      <c r="A110" s="113" t="s">
        <v>400</v>
      </c>
      <c r="B110" s="113">
        <v>0</v>
      </c>
      <c r="C110" s="113">
        <v>0</v>
      </c>
      <c r="D110" s="113"/>
    </row>
    <row r="111" spans="1:20">
      <c r="A111" s="113" t="s">
        <v>400</v>
      </c>
      <c r="B111" s="113">
        <v>0</v>
      </c>
      <c r="C111" s="113">
        <v>0</v>
      </c>
      <c r="D111" s="113"/>
    </row>
    <row r="112" spans="1:20">
      <c r="A112" s="113"/>
      <c r="B112" s="112">
        <v>1099</v>
      </c>
      <c r="C112" s="112">
        <v>18</v>
      </c>
      <c r="D112" s="1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3E42-7251-424B-8A06-D431F9977A74}">
  <dimension ref="A1:U99"/>
  <sheetViews>
    <sheetView topLeftCell="L66" workbookViewId="0">
      <selection activeCell="AF4" sqref="AF4"/>
    </sheetView>
  </sheetViews>
  <sheetFormatPr defaultRowHeight="15"/>
  <cols>
    <col min="1" max="1" width="31.85546875" bestFit="1" customWidth="1"/>
    <col min="2" max="2" width="19.140625" bestFit="1" customWidth="1"/>
    <col min="3" max="3" width="51" bestFit="1" customWidth="1"/>
    <col min="4" max="4" width="9.42578125" customWidth="1"/>
    <col min="9" max="9" width="31.85546875" bestFit="1" customWidth="1"/>
    <col min="10" max="10" width="19.140625" bestFit="1" customWidth="1"/>
    <col min="11" max="11" width="31.7109375" bestFit="1" customWidth="1"/>
    <col min="12" max="12" width="46.140625" bestFit="1" customWidth="1"/>
    <col min="17" max="17" width="35.42578125" bestFit="1" customWidth="1"/>
    <col min="19" max="19" width="31.7109375" bestFit="1" customWidth="1"/>
  </cols>
  <sheetData>
    <row r="1" spans="1:21">
      <c r="C1" t="s">
        <v>37</v>
      </c>
      <c r="S1" s="14" t="s">
        <v>402</v>
      </c>
    </row>
    <row r="2" spans="1:21">
      <c r="Q2" t="s">
        <v>30</v>
      </c>
      <c r="R2" t="s">
        <v>54</v>
      </c>
      <c r="S2" t="s">
        <v>403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67" t="s">
        <v>219</v>
      </c>
      <c r="R4" s="68"/>
      <c r="S4" s="69"/>
      <c r="T4" s="70"/>
      <c r="U4" s="71"/>
    </row>
    <row r="5" spans="1:21">
      <c r="A5" s="72" t="s">
        <v>220</v>
      </c>
      <c r="B5" s="73" t="s">
        <v>404</v>
      </c>
      <c r="C5" s="256" t="s">
        <v>405</v>
      </c>
      <c r="D5" s="75" t="s">
        <v>406</v>
      </c>
      <c r="E5" s="76">
        <v>6</v>
      </c>
      <c r="I5" s="72" t="s">
        <v>220</v>
      </c>
      <c r="J5" s="73" t="s">
        <v>100</v>
      </c>
      <c r="K5" s="256" t="s">
        <v>407</v>
      </c>
      <c r="L5" s="75" t="s">
        <v>406</v>
      </c>
      <c r="M5" s="76">
        <v>6</v>
      </c>
      <c r="Q5" s="72" t="s">
        <v>220</v>
      </c>
      <c r="R5" s="73" t="s">
        <v>145</v>
      </c>
      <c r="S5" s="256" t="s">
        <v>408</v>
      </c>
      <c r="T5" s="75" t="s">
        <v>406</v>
      </c>
      <c r="U5" s="76">
        <v>30</v>
      </c>
    </row>
    <row r="6" spans="1:21">
      <c r="A6" s="72" t="s">
        <v>226</v>
      </c>
      <c r="B6" s="73" t="s">
        <v>352</v>
      </c>
      <c r="C6" s="257" t="s">
        <v>409</v>
      </c>
      <c r="D6" s="78" t="s">
        <v>410</v>
      </c>
      <c r="E6" s="76">
        <v>56</v>
      </c>
      <c r="I6" s="72" t="s">
        <v>226</v>
      </c>
      <c r="J6" s="73" t="s">
        <v>411</v>
      </c>
      <c r="K6" s="257" t="s">
        <v>412</v>
      </c>
      <c r="L6" s="78" t="s">
        <v>410</v>
      </c>
      <c r="M6" s="76">
        <v>50</v>
      </c>
      <c r="Q6" s="72" t="s">
        <v>226</v>
      </c>
      <c r="R6" s="73" t="s">
        <v>411</v>
      </c>
      <c r="S6" s="263" t="s">
        <v>413</v>
      </c>
      <c r="T6" s="78" t="s">
        <v>410</v>
      </c>
      <c r="U6" s="264">
        <v>84</v>
      </c>
    </row>
    <row r="7" spans="1:21">
      <c r="A7" s="72" t="s">
        <v>232</v>
      </c>
      <c r="B7" s="73" t="s">
        <v>352</v>
      </c>
      <c r="C7" s="257" t="s">
        <v>414</v>
      </c>
      <c r="D7" s="78" t="s">
        <v>410</v>
      </c>
      <c r="E7" s="76">
        <v>50</v>
      </c>
      <c r="I7" s="72" t="s">
        <v>232</v>
      </c>
      <c r="J7" s="73" t="s">
        <v>411</v>
      </c>
      <c r="K7" s="257" t="s">
        <v>412</v>
      </c>
      <c r="L7" s="78" t="s">
        <v>410</v>
      </c>
      <c r="M7" s="76">
        <v>50</v>
      </c>
      <c r="Q7" s="72" t="s">
        <v>232</v>
      </c>
      <c r="R7" s="73" t="s">
        <v>145</v>
      </c>
      <c r="S7" s="257" t="s">
        <v>415</v>
      </c>
      <c r="T7" s="78" t="s">
        <v>410</v>
      </c>
      <c r="U7" s="76">
        <v>85</v>
      </c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79"/>
      <c r="R8" s="80"/>
      <c r="S8" s="81"/>
      <c r="T8" s="82"/>
      <c r="U8" s="83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67" t="s">
        <v>234</v>
      </c>
      <c r="R9" s="248"/>
      <c r="S9" s="259"/>
      <c r="T9" s="249"/>
      <c r="U9" s="250"/>
    </row>
    <row r="10" spans="1:21">
      <c r="A10" s="72" t="s">
        <v>303</v>
      </c>
      <c r="B10" s="84" t="s">
        <v>352</v>
      </c>
      <c r="C10" s="234" t="s">
        <v>416</v>
      </c>
      <c r="D10" s="86" t="s">
        <v>410</v>
      </c>
      <c r="E10" s="87">
        <v>50</v>
      </c>
      <c r="I10" s="72" t="s">
        <v>303</v>
      </c>
      <c r="J10" s="84" t="s">
        <v>100</v>
      </c>
      <c r="K10" s="234" t="s">
        <v>417</v>
      </c>
      <c r="L10" s="86" t="s">
        <v>410</v>
      </c>
      <c r="M10" s="87">
        <v>50</v>
      </c>
      <c r="Q10" s="72" t="s">
        <v>303</v>
      </c>
      <c r="R10" s="248" t="s">
        <v>145</v>
      </c>
      <c r="S10" s="258" t="s">
        <v>415</v>
      </c>
      <c r="T10" s="251" t="s">
        <v>410</v>
      </c>
      <c r="U10" s="250">
        <v>85</v>
      </c>
    </row>
    <row r="11" spans="1:21">
      <c r="A11" s="72" t="s">
        <v>303</v>
      </c>
      <c r="B11" s="84" t="s">
        <v>352</v>
      </c>
      <c r="C11" s="234" t="s">
        <v>416</v>
      </c>
      <c r="D11" s="86" t="s">
        <v>410</v>
      </c>
      <c r="E11" s="87">
        <v>50</v>
      </c>
      <c r="I11" s="72" t="s">
        <v>303</v>
      </c>
      <c r="J11" s="84" t="s">
        <v>100</v>
      </c>
      <c r="K11" s="234" t="s">
        <v>417</v>
      </c>
      <c r="L11" s="86" t="s">
        <v>410</v>
      </c>
      <c r="M11" s="87">
        <v>50</v>
      </c>
      <c r="Q11" s="72" t="s">
        <v>303</v>
      </c>
      <c r="R11" s="84"/>
      <c r="S11" s="85"/>
      <c r="T11" s="86"/>
      <c r="U11" s="87"/>
    </row>
    <row r="12" spans="1:21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72" t="s">
        <v>305</v>
      </c>
      <c r="R12" s="84"/>
      <c r="S12" s="85"/>
      <c r="T12" s="86"/>
      <c r="U12" s="87"/>
    </row>
    <row r="13" spans="1:21">
      <c r="A13" s="72" t="s">
        <v>306</v>
      </c>
      <c r="B13" s="84"/>
      <c r="C13" s="85"/>
      <c r="D13" s="86"/>
      <c r="E13" s="87"/>
      <c r="I13" s="72" t="s">
        <v>306</v>
      </c>
      <c r="J13" s="84" t="s">
        <v>145</v>
      </c>
      <c r="K13" s="234" t="s">
        <v>418</v>
      </c>
      <c r="L13" s="86"/>
      <c r="M13" s="87">
        <v>86</v>
      </c>
      <c r="Q13" s="72" t="s">
        <v>306</v>
      </c>
      <c r="R13" s="84" t="s">
        <v>145</v>
      </c>
      <c r="S13" s="234" t="s">
        <v>419</v>
      </c>
      <c r="T13" s="86"/>
      <c r="U13" s="87">
        <v>75</v>
      </c>
    </row>
    <row r="14" spans="1:21">
      <c r="A14" s="72" t="s">
        <v>309</v>
      </c>
      <c r="B14" s="84" t="s">
        <v>404</v>
      </c>
      <c r="C14" s="234" t="s">
        <v>13</v>
      </c>
      <c r="D14" s="86" t="s">
        <v>406</v>
      </c>
      <c r="E14" s="87">
        <v>21</v>
      </c>
      <c r="I14" s="72" t="s">
        <v>309</v>
      </c>
      <c r="J14" s="84"/>
      <c r="K14" s="85"/>
      <c r="L14" s="86"/>
      <c r="M14" s="87"/>
      <c r="Q14" s="72" t="s">
        <v>309</v>
      </c>
      <c r="R14" s="84"/>
      <c r="S14" s="85"/>
      <c r="T14" s="86"/>
      <c r="U14" s="87"/>
    </row>
    <row r="15" spans="1:21">
      <c r="A15" s="72" t="s">
        <v>309</v>
      </c>
      <c r="B15" s="84" t="s">
        <v>404</v>
      </c>
      <c r="C15" s="234" t="s">
        <v>13</v>
      </c>
      <c r="D15" s="86" t="s">
        <v>406</v>
      </c>
      <c r="E15" s="87">
        <v>21</v>
      </c>
      <c r="I15" s="72" t="s">
        <v>309</v>
      </c>
      <c r="J15" s="84"/>
      <c r="K15" s="85"/>
      <c r="L15" s="86"/>
      <c r="M15" s="87"/>
      <c r="Q15" s="72" t="s">
        <v>309</v>
      </c>
      <c r="R15" s="84"/>
      <c r="S15" s="85"/>
      <c r="T15" s="86"/>
      <c r="U15" s="87"/>
    </row>
    <row r="16" spans="1:21">
      <c r="A16" s="72" t="s">
        <v>310</v>
      </c>
      <c r="B16" s="84"/>
      <c r="C16" s="85"/>
      <c r="D16" s="86"/>
      <c r="E16" s="87"/>
      <c r="I16" s="72" t="s">
        <v>310</v>
      </c>
      <c r="J16" s="84"/>
      <c r="K16" s="85"/>
      <c r="L16" s="86"/>
      <c r="M16" s="87"/>
      <c r="Q16" s="72" t="s">
        <v>310</v>
      </c>
      <c r="R16" s="84" t="s">
        <v>124</v>
      </c>
      <c r="S16" s="234" t="s">
        <v>420</v>
      </c>
      <c r="T16" s="86" t="s">
        <v>406</v>
      </c>
      <c r="U16" s="106">
        <v>67</v>
      </c>
    </row>
    <row r="17" spans="1:21">
      <c r="A17" s="72" t="s">
        <v>235</v>
      </c>
      <c r="B17" s="84" t="s">
        <v>352</v>
      </c>
      <c r="C17" s="234" t="s">
        <v>421</v>
      </c>
      <c r="D17" s="86" t="s">
        <v>406</v>
      </c>
      <c r="E17" s="87">
        <v>25</v>
      </c>
      <c r="I17" s="72" t="s">
        <v>235</v>
      </c>
      <c r="J17" s="84" t="s">
        <v>145</v>
      </c>
      <c r="K17" s="234" t="s">
        <v>422</v>
      </c>
      <c r="L17" s="86" t="s">
        <v>406</v>
      </c>
      <c r="M17" s="87">
        <v>40</v>
      </c>
      <c r="Q17" s="72" t="s">
        <v>235</v>
      </c>
      <c r="R17" s="84" t="s">
        <v>145</v>
      </c>
      <c r="S17" s="234" t="s">
        <v>314</v>
      </c>
      <c r="T17" s="86" t="s">
        <v>406</v>
      </c>
      <c r="U17" s="106">
        <v>25</v>
      </c>
    </row>
    <row r="18" spans="1:21">
      <c r="A18" s="72" t="s">
        <v>240</v>
      </c>
      <c r="B18" s="84" t="s">
        <v>404</v>
      </c>
      <c r="C18" s="234" t="s">
        <v>423</v>
      </c>
      <c r="D18" s="86" t="s">
        <v>406</v>
      </c>
      <c r="E18" s="87">
        <v>14</v>
      </c>
      <c r="I18" s="72" t="s">
        <v>240</v>
      </c>
      <c r="J18" s="84" t="s">
        <v>145</v>
      </c>
      <c r="K18" s="234" t="s">
        <v>424</v>
      </c>
      <c r="L18" s="86" t="s">
        <v>406</v>
      </c>
      <c r="M18" s="87">
        <v>18</v>
      </c>
      <c r="Q18" s="72" t="s">
        <v>240</v>
      </c>
      <c r="R18" s="84"/>
      <c r="S18" s="85"/>
      <c r="T18" s="86"/>
      <c r="U18" s="87"/>
    </row>
    <row r="19" spans="1:21">
      <c r="A19" s="72" t="s">
        <v>240</v>
      </c>
      <c r="B19" s="84"/>
      <c r="C19" s="85"/>
      <c r="D19" s="86"/>
      <c r="E19" s="87"/>
      <c r="I19" s="72" t="s">
        <v>240</v>
      </c>
      <c r="J19" s="84"/>
      <c r="K19" s="85"/>
      <c r="L19" s="86"/>
      <c r="M19" s="87"/>
      <c r="Q19" s="72" t="s">
        <v>240</v>
      </c>
      <c r="R19" s="84"/>
      <c r="S19" s="85"/>
      <c r="T19" s="86"/>
      <c r="U19" s="87"/>
    </row>
    <row r="20" spans="1:21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72" t="s">
        <v>240</v>
      </c>
      <c r="R20" s="84"/>
      <c r="S20" s="85"/>
      <c r="T20" s="86"/>
      <c r="U20" s="87"/>
    </row>
    <row r="21" spans="1:21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72" t="s">
        <v>240</v>
      </c>
      <c r="R21" s="84"/>
      <c r="S21" s="85"/>
      <c r="T21" s="86"/>
      <c r="U21" s="87"/>
    </row>
    <row r="22" spans="1:21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72" t="s">
        <v>240</v>
      </c>
      <c r="R22" s="84"/>
      <c r="S22" s="85"/>
      <c r="T22" s="86"/>
      <c r="U22" s="87"/>
    </row>
    <row r="23" spans="1:21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42"/>
      <c r="R23" s="80"/>
      <c r="S23" s="81"/>
      <c r="T23" s="82"/>
      <c r="U23" s="83"/>
    </row>
    <row r="24" spans="1:21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42"/>
      <c r="R24" s="80"/>
      <c r="S24" s="81"/>
      <c r="T24" s="82"/>
      <c r="U24" s="83"/>
    </row>
    <row r="25" spans="1:21">
      <c r="A25" s="67" t="s">
        <v>242</v>
      </c>
      <c r="B25" s="84"/>
      <c r="C25" s="85"/>
      <c r="D25" s="86"/>
      <c r="E25" s="87">
        <v>293</v>
      </c>
      <c r="I25" s="67" t="s">
        <v>242</v>
      </c>
      <c r="J25" s="84"/>
      <c r="K25" s="85"/>
      <c r="L25" s="86"/>
      <c r="M25" s="87">
        <f>SUM(M5:M22)</f>
        <v>350</v>
      </c>
      <c r="Q25" s="67" t="s">
        <v>242</v>
      </c>
      <c r="R25" s="84"/>
      <c r="S25" s="85"/>
      <c r="T25" s="86"/>
      <c r="U25" s="87">
        <v>451</v>
      </c>
    </row>
    <row r="26" spans="1:21">
      <c r="A26" s="67" t="s">
        <v>243</v>
      </c>
      <c r="B26" s="84"/>
      <c r="C26" s="85"/>
      <c r="D26" s="86"/>
      <c r="E26" s="87">
        <v>9</v>
      </c>
      <c r="I26" s="67" t="s">
        <v>243</v>
      </c>
      <c r="J26" s="84"/>
      <c r="K26" s="85"/>
      <c r="L26" s="86"/>
      <c r="M26" s="87">
        <v>8</v>
      </c>
      <c r="Q26" s="67" t="s">
        <v>243</v>
      </c>
      <c r="R26" s="84"/>
      <c r="S26" s="85"/>
      <c r="T26" s="86"/>
      <c r="U26" s="87">
        <v>7</v>
      </c>
    </row>
    <row r="28" spans="1:21" ht="45.75">
      <c r="A28" s="42"/>
      <c r="B28" s="43" t="s">
        <v>215</v>
      </c>
      <c r="C28" s="65" t="s">
        <v>216</v>
      </c>
      <c r="D28" s="66" t="s">
        <v>217</v>
      </c>
      <c r="E28" s="45" t="s">
        <v>218</v>
      </c>
      <c r="I28" s="42"/>
      <c r="J28" s="63" t="s">
        <v>215</v>
      </c>
      <c r="K28" s="65" t="s">
        <v>216</v>
      </c>
      <c r="L28" s="66" t="s">
        <v>217</v>
      </c>
      <c r="M28" s="45" t="s">
        <v>218</v>
      </c>
      <c r="Q28" s="42"/>
      <c r="R28" s="6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67" t="s">
        <v>219</v>
      </c>
      <c r="R29" s="68"/>
      <c r="S29" s="69"/>
      <c r="T29" s="70"/>
      <c r="U29" s="71"/>
    </row>
    <row r="30" spans="1:21" ht="60.75">
      <c r="A30" s="88" t="s">
        <v>259</v>
      </c>
      <c r="B30" s="73" t="s">
        <v>352</v>
      </c>
      <c r="C30" s="256" t="s">
        <v>425</v>
      </c>
      <c r="D30" s="75" t="s">
        <v>78</v>
      </c>
      <c r="E30" s="76">
        <v>205</v>
      </c>
      <c r="I30" s="72" t="s">
        <v>220</v>
      </c>
      <c r="J30" s="73" t="s">
        <v>100</v>
      </c>
      <c r="K30" s="256" t="s">
        <v>407</v>
      </c>
      <c r="L30" s="75" t="s">
        <v>406</v>
      </c>
      <c r="M30" s="76">
        <v>21</v>
      </c>
      <c r="Q30" s="72" t="s">
        <v>220</v>
      </c>
      <c r="R30" s="73" t="s">
        <v>145</v>
      </c>
      <c r="S30" s="74" t="s">
        <v>407</v>
      </c>
      <c r="T30" s="75" t="s">
        <v>406</v>
      </c>
      <c r="U30" s="76">
        <v>30</v>
      </c>
    </row>
    <row r="31" spans="1:21" ht="45.75">
      <c r="A31" s="88" t="s">
        <v>261</v>
      </c>
      <c r="B31" s="73" t="s">
        <v>352</v>
      </c>
      <c r="C31" s="257" t="s">
        <v>426</v>
      </c>
      <c r="D31" s="78" t="s">
        <v>427</v>
      </c>
      <c r="E31" s="76">
        <v>140</v>
      </c>
      <c r="I31" s="72" t="s">
        <v>226</v>
      </c>
      <c r="J31" s="73" t="s">
        <v>145</v>
      </c>
      <c r="K31" s="257" t="s">
        <v>428</v>
      </c>
      <c r="L31" s="78"/>
      <c r="M31" s="76">
        <v>85</v>
      </c>
      <c r="Q31" s="72" t="s">
        <v>226</v>
      </c>
      <c r="R31" s="73" t="s">
        <v>124</v>
      </c>
      <c r="S31" s="263" t="s">
        <v>429</v>
      </c>
      <c r="T31" s="78"/>
      <c r="U31" s="264">
        <v>99</v>
      </c>
    </row>
    <row r="32" spans="1:21" ht="30.75">
      <c r="A32" s="79"/>
      <c r="B32" s="80"/>
      <c r="C32" s="81"/>
      <c r="D32" s="82"/>
      <c r="E32" s="83"/>
      <c r="I32" s="72" t="s">
        <v>232</v>
      </c>
      <c r="J32" s="73" t="s">
        <v>145</v>
      </c>
      <c r="K32" s="257" t="s">
        <v>430</v>
      </c>
      <c r="L32" s="78"/>
      <c r="M32" s="76">
        <v>100</v>
      </c>
      <c r="Q32" s="72" t="s">
        <v>232</v>
      </c>
      <c r="R32" s="73" t="s">
        <v>124</v>
      </c>
      <c r="S32" s="263" t="s">
        <v>429</v>
      </c>
      <c r="T32" s="78"/>
      <c r="U32" s="264">
        <v>99</v>
      </c>
    </row>
    <row r="33" spans="1:21">
      <c r="A33" s="67" t="s">
        <v>234</v>
      </c>
      <c r="B33" s="80"/>
      <c r="C33" s="81"/>
      <c r="D33" s="82"/>
      <c r="E33" s="83"/>
      <c r="I33" s="79"/>
      <c r="J33" s="80"/>
      <c r="K33" s="81"/>
      <c r="L33" s="82"/>
      <c r="M33" s="83"/>
      <c r="Q33" s="79"/>
      <c r="R33" s="80"/>
      <c r="S33" s="81"/>
      <c r="T33" s="82"/>
      <c r="U33" s="83"/>
    </row>
    <row r="34" spans="1:21" ht="45.75">
      <c r="A34" s="88" t="s">
        <v>261</v>
      </c>
      <c r="B34" s="84" t="s">
        <v>352</v>
      </c>
      <c r="C34" s="234" t="s">
        <v>426</v>
      </c>
      <c r="D34" s="86" t="s">
        <v>427</v>
      </c>
      <c r="E34" s="87">
        <v>140</v>
      </c>
      <c r="I34" s="67" t="s">
        <v>234</v>
      </c>
      <c r="J34" s="80"/>
      <c r="K34" s="81"/>
      <c r="L34" s="82"/>
      <c r="M34" s="83"/>
      <c r="Q34" s="67" t="s">
        <v>234</v>
      </c>
      <c r="R34" s="80"/>
      <c r="S34" s="81"/>
      <c r="T34" s="82"/>
      <c r="U34" s="83"/>
    </row>
    <row r="35" spans="1:21" ht="45.75">
      <c r="A35" s="88" t="s">
        <v>261</v>
      </c>
      <c r="B35" s="84" t="s">
        <v>352</v>
      </c>
      <c r="C35" s="234" t="s">
        <v>426</v>
      </c>
      <c r="D35" s="86" t="s">
        <v>427</v>
      </c>
      <c r="E35" s="87">
        <v>140</v>
      </c>
      <c r="I35" s="72" t="s">
        <v>303</v>
      </c>
      <c r="J35" s="84"/>
      <c r="K35" s="85"/>
      <c r="L35" s="86"/>
      <c r="M35" s="87"/>
      <c r="Q35" s="72" t="s">
        <v>303</v>
      </c>
      <c r="R35" s="84"/>
      <c r="S35" s="85"/>
      <c r="T35" s="86"/>
      <c r="U35" s="87"/>
    </row>
    <row r="36" spans="1:21" ht="45.75">
      <c r="A36" s="88" t="s">
        <v>261</v>
      </c>
      <c r="B36" s="84" t="s">
        <v>352</v>
      </c>
      <c r="C36" s="234" t="s">
        <v>426</v>
      </c>
      <c r="D36" s="86" t="s">
        <v>427</v>
      </c>
      <c r="E36" s="87">
        <v>140</v>
      </c>
      <c r="I36" s="72" t="s">
        <v>303</v>
      </c>
      <c r="J36" s="84"/>
      <c r="K36" s="85"/>
      <c r="L36" s="86"/>
      <c r="M36" s="87"/>
      <c r="Q36" s="72" t="s">
        <v>303</v>
      </c>
      <c r="R36" s="84"/>
      <c r="S36" s="85"/>
      <c r="T36" s="86"/>
      <c r="U36" s="87"/>
    </row>
    <row r="37" spans="1:21">
      <c r="A37" s="42"/>
      <c r="B37" s="80"/>
      <c r="C37" s="81"/>
      <c r="D37" s="82"/>
      <c r="E37" s="83"/>
      <c r="I37" s="72" t="s">
        <v>305</v>
      </c>
      <c r="J37" s="84"/>
      <c r="K37" s="85"/>
      <c r="L37" s="86"/>
      <c r="M37" s="87"/>
      <c r="Q37" s="72" t="s">
        <v>305</v>
      </c>
      <c r="R37" s="84"/>
      <c r="S37" s="85"/>
      <c r="T37" s="86"/>
      <c r="U37" s="87"/>
    </row>
    <row r="38" spans="1:21">
      <c r="A38" s="42"/>
      <c r="B38" s="80"/>
      <c r="C38" s="81"/>
      <c r="D38" s="82"/>
      <c r="E38" s="83"/>
      <c r="I38" s="72" t="s">
        <v>306</v>
      </c>
      <c r="J38" s="84" t="s">
        <v>145</v>
      </c>
      <c r="K38" s="234" t="s">
        <v>431</v>
      </c>
      <c r="L38" s="86"/>
      <c r="M38" s="87">
        <v>86</v>
      </c>
      <c r="Q38" s="72" t="s">
        <v>306</v>
      </c>
      <c r="R38" s="84" t="s">
        <v>145</v>
      </c>
      <c r="S38" s="234" t="s">
        <v>432</v>
      </c>
      <c r="T38" s="86"/>
      <c r="U38" s="106">
        <v>75</v>
      </c>
    </row>
    <row r="39" spans="1:21">
      <c r="A39" s="67" t="s">
        <v>242</v>
      </c>
      <c r="B39" s="84"/>
      <c r="C39" s="85"/>
      <c r="D39" s="86"/>
      <c r="E39" s="87">
        <v>765</v>
      </c>
      <c r="I39" s="72" t="s">
        <v>309</v>
      </c>
      <c r="J39" s="84"/>
      <c r="K39" s="85"/>
      <c r="L39" s="86"/>
      <c r="M39" s="87"/>
      <c r="Q39" s="72" t="s">
        <v>309</v>
      </c>
      <c r="R39" s="84"/>
      <c r="S39" s="85"/>
      <c r="T39" s="86"/>
      <c r="U39" s="87"/>
    </row>
    <row r="40" spans="1:21">
      <c r="A40" s="67" t="s">
        <v>243</v>
      </c>
      <c r="B40" s="84"/>
      <c r="C40" s="85"/>
      <c r="D40" s="86"/>
      <c r="E40" s="87">
        <v>5</v>
      </c>
      <c r="I40" s="72" t="s">
        <v>309</v>
      </c>
      <c r="J40" s="84"/>
      <c r="K40" s="85"/>
      <c r="L40" s="86"/>
      <c r="M40" s="87"/>
      <c r="Q40" s="72" t="s">
        <v>309</v>
      </c>
      <c r="R40" s="84"/>
      <c r="S40" s="85"/>
      <c r="T40" s="86"/>
      <c r="U40" s="87"/>
    </row>
    <row r="41" spans="1:21">
      <c r="I41" s="72" t="s">
        <v>375</v>
      </c>
      <c r="J41" s="84"/>
      <c r="K41" s="85"/>
      <c r="L41" s="86"/>
      <c r="M41" s="87"/>
      <c r="Q41" s="72" t="s">
        <v>11</v>
      </c>
      <c r="R41" s="84" t="s">
        <v>145</v>
      </c>
      <c r="S41" s="234" t="s">
        <v>11</v>
      </c>
      <c r="T41" s="86"/>
      <c r="U41" s="106">
        <v>52</v>
      </c>
    </row>
    <row r="42" spans="1:21">
      <c r="I42" s="72" t="s">
        <v>235</v>
      </c>
      <c r="J42" s="84" t="s">
        <v>145</v>
      </c>
      <c r="K42" s="234" t="s">
        <v>422</v>
      </c>
      <c r="L42" s="86"/>
      <c r="M42" s="87">
        <v>40</v>
      </c>
      <c r="Q42" s="72" t="s">
        <v>235</v>
      </c>
      <c r="R42" s="84" t="s">
        <v>145</v>
      </c>
      <c r="S42" s="234" t="s">
        <v>433</v>
      </c>
      <c r="T42" s="86"/>
      <c r="U42" s="106">
        <v>25</v>
      </c>
    </row>
    <row r="43" spans="1:21" ht="76.5">
      <c r="A43" s="90"/>
      <c r="B43" s="91"/>
      <c r="C43" s="92" t="s">
        <v>274</v>
      </c>
      <c r="D43" s="103"/>
      <c r="I43" s="72" t="s">
        <v>240</v>
      </c>
      <c r="J43" s="84"/>
      <c r="K43" s="85"/>
      <c r="L43" s="86"/>
      <c r="M43" s="87"/>
      <c r="Q43" s="72" t="s">
        <v>240</v>
      </c>
      <c r="R43" s="84"/>
      <c r="S43" s="85"/>
      <c r="T43" s="86"/>
      <c r="U43" s="87"/>
    </row>
    <row r="44" spans="1:21">
      <c r="A44" s="67" t="s">
        <v>275</v>
      </c>
      <c r="B44" s="73" t="s">
        <v>54</v>
      </c>
      <c r="C44" s="81"/>
      <c r="D44" s="103"/>
      <c r="I44" s="72" t="s">
        <v>240</v>
      </c>
      <c r="J44" s="84"/>
      <c r="K44" s="85"/>
      <c r="L44" s="86"/>
      <c r="M44" s="87"/>
      <c r="Q44" s="72" t="s">
        <v>240</v>
      </c>
      <c r="R44" s="84"/>
      <c r="S44" s="85"/>
      <c r="T44" s="86"/>
      <c r="U44" s="87"/>
    </row>
    <row r="45" spans="1:21">
      <c r="A45" s="67" t="s">
        <v>277</v>
      </c>
      <c r="B45" s="73" t="s">
        <v>434</v>
      </c>
      <c r="C45" s="81"/>
      <c r="D45" s="103"/>
      <c r="I45" s="72" t="s">
        <v>240</v>
      </c>
      <c r="J45" s="84"/>
      <c r="K45" s="85"/>
      <c r="L45" s="86"/>
      <c r="M45" s="87"/>
      <c r="Q45" s="72" t="s">
        <v>240</v>
      </c>
      <c r="R45" s="84"/>
      <c r="S45" s="85"/>
      <c r="T45" s="86"/>
      <c r="U45" s="87"/>
    </row>
    <row r="46" spans="1:21">
      <c r="A46" s="67" t="s">
        <v>278</v>
      </c>
      <c r="B46" s="73">
        <v>3</v>
      </c>
      <c r="C46" s="81"/>
      <c r="D46" s="103"/>
      <c r="I46" s="72" t="s">
        <v>240</v>
      </c>
      <c r="J46" s="84"/>
      <c r="K46" s="85"/>
      <c r="L46" s="86"/>
      <c r="M46" s="87"/>
      <c r="Q46" s="72" t="s">
        <v>240</v>
      </c>
      <c r="R46" s="84"/>
      <c r="S46" s="85"/>
      <c r="T46" s="86"/>
      <c r="U46" s="87"/>
    </row>
    <row r="47" spans="1:21">
      <c r="A47" s="67" t="s">
        <v>282</v>
      </c>
      <c r="B47" s="73" t="s">
        <v>31</v>
      </c>
      <c r="C47" s="81"/>
      <c r="D47" s="103"/>
      <c r="I47" s="72" t="s">
        <v>240</v>
      </c>
      <c r="J47" s="84"/>
      <c r="K47" s="85"/>
      <c r="L47" s="86"/>
      <c r="M47" s="87"/>
      <c r="Q47" s="72" t="s">
        <v>240</v>
      </c>
      <c r="R47" s="84"/>
      <c r="S47" s="85"/>
      <c r="T47" s="86"/>
      <c r="U47" s="87"/>
    </row>
    <row r="48" spans="1:21">
      <c r="A48" s="93"/>
      <c r="B48" s="80"/>
      <c r="C48" s="81"/>
      <c r="D48" s="103"/>
      <c r="I48" s="42"/>
      <c r="J48" s="80"/>
      <c r="K48" s="81"/>
      <c r="L48" s="82"/>
      <c r="M48" s="83"/>
      <c r="Q48" s="42"/>
      <c r="R48" s="80"/>
      <c r="S48" s="81"/>
      <c r="T48" s="82"/>
      <c r="U48" s="83"/>
    </row>
    <row r="49" spans="1:21">
      <c r="A49" s="94" t="s">
        <v>284</v>
      </c>
      <c r="B49" s="94"/>
      <c r="C49" s="94"/>
      <c r="D49" s="103"/>
      <c r="I49" s="42"/>
      <c r="J49" s="80"/>
      <c r="K49" s="81"/>
      <c r="L49" s="82"/>
      <c r="M49" s="83"/>
      <c r="Q49" s="42"/>
      <c r="R49" s="80"/>
      <c r="S49" s="81"/>
      <c r="T49" s="82"/>
      <c r="U49" s="83"/>
    </row>
    <row r="50" spans="1:21">
      <c r="A50" s="94"/>
      <c r="B50" s="94" t="s">
        <v>285</v>
      </c>
      <c r="C50" s="94" t="s">
        <v>15</v>
      </c>
      <c r="D50" s="94" t="s">
        <v>5</v>
      </c>
      <c r="I50" s="67" t="s">
        <v>242</v>
      </c>
      <c r="J50" s="84"/>
      <c r="K50" s="85"/>
      <c r="L50" s="86"/>
      <c r="M50" s="87">
        <f>SUM(M30:M47)</f>
        <v>332</v>
      </c>
      <c r="Q50" s="67" t="s">
        <v>242</v>
      </c>
      <c r="R50" s="84"/>
      <c r="S50" s="85"/>
      <c r="T50" s="86"/>
      <c r="U50" s="87">
        <v>380</v>
      </c>
    </row>
    <row r="51" spans="1:21">
      <c r="A51" s="95" t="s">
        <v>393</v>
      </c>
      <c r="B51" s="95">
        <v>42</v>
      </c>
      <c r="C51" s="95">
        <v>1</v>
      </c>
      <c r="D51" s="96" t="s">
        <v>435</v>
      </c>
      <c r="I51" s="67" t="s">
        <v>243</v>
      </c>
      <c r="J51" s="84"/>
      <c r="K51" s="85"/>
      <c r="L51" s="86"/>
      <c r="M51" s="87">
        <v>5</v>
      </c>
      <c r="Q51" s="67" t="s">
        <v>243</v>
      </c>
      <c r="R51" s="84"/>
      <c r="S51" s="85"/>
      <c r="T51" s="86"/>
      <c r="U51" s="87">
        <v>6</v>
      </c>
    </row>
    <row r="52" spans="1:21">
      <c r="A52" s="96" t="s">
        <v>286</v>
      </c>
      <c r="B52" s="96">
        <v>293</v>
      </c>
      <c r="C52" s="96">
        <v>9</v>
      </c>
      <c r="D52" s="96"/>
    </row>
    <row r="53" spans="1:21" ht="45.75">
      <c r="A53" s="96" t="s">
        <v>287</v>
      </c>
      <c r="B53" s="96">
        <v>0</v>
      </c>
      <c r="C53" s="96">
        <v>0</v>
      </c>
      <c r="D53" s="96"/>
      <c r="I53" s="42"/>
      <c r="J53" s="63" t="s">
        <v>215</v>
      </c>
      <c r="K53" s="65" t="s">
        <v>216</v>
      </c>
      <c r="L53" s="66" t="s">
        <v>217</v>
      </c>
      <c r="M53" s="45" t="s">
        <v>218</v>
      </c>
      <c r="Q53" s="42"/>
      <c r="R53" s="43" t="s">
        <v>215</v>
      </c>
      <c r="S53" s="65" t="s">
        <v>216</v>
      </c>
      <c r="T53" s="66" t="s">
        <v>217</v>
      </c>
      <c r="U53" s="45" t="s">
        <v>218</v>
      </c>
    </row>
    <row r="54" spans="1:21">
      <c r="A54" s="96" t="s">
        <v>289</v>
      </c>
      <c r="B54" s="96">
        <v>0</v>
      </c>
      <c r="C54" s="96">
        <v>0</v>
      </c>
      <c r="D54" s="96"/>
      <c r="I54" s="67" t="s">
        <v>219</v>
      </c>
      <c r="J54" s="68"/>
      <c r="K54" s="69"/>
      <c r="L54" s="70"/>
      <c r="M54" s="71"/>
      <c r="Q54" s="67" t="s">
        <v>219</v>
      </c>
      <c r="R54" s="68"/>
      <c r="S54" s="69"/>
      <c r="T54" s="70"/>
      <c r="U54" s="71"/>
    </row>
    <row r="55" spans="1:21">
      <c r="A55" s="96" t="s">
        <v>396</v>
      </c>
      <c r="B55" s="96">
        <v>0</v>
      </c>
      <c r="C55" s="96">
        <v>0</v>
      </c>
      <c r="D55" s="96"/>
      <c r="I55" s="72" t="s">
        <v>220</v>
      </c>
      <c r="J55" s="73" t="s">
        <v>100</v>
      </c>
      <c r="K55" s="256" t="s">
        <v>407</v>
      </c>
      <c r="L55" s="75" t="s">
        <v>406</v>
      </c>
      <c r="M55" s="76">
        <v>21</v>
      </c>
      <c r="Q55" s="72" t="s">
        <v>220</v>
      </c>
      <c r="R55" s="73" t="s">
        <v>100</v>
      </c>
      <c r="S55" s="256" t="s">
        <v>436</v>
      </c>
      <c r="T55" s="75" t="s">
        <v>406</v>
      </c>
      <c r="U55" s="260">
        <v>21</v>
      </c>
    </row>
    <row r="56" spans="1:21" ht="30.75">
      <c r="A56" s="95" t="s">
        <v>397</v>
      </c>
      <c r="B56" s="96">
        <v>0</v>
      </c>
      <c r="C56" s="96">
        <v>0</v>
      </c>
      <c r="D56" s="96"/>
      <c r="I56" s="72" t="s">
        <v>226</v>
      </c>
      <c r="J56" s="73" t="s">
        <v>124</v>
      </c>
      <c r="K56" s="257" t="s">
        <v>437</v>
      </c>
      <c r="L56" s="78"/>
      <c r="M56" s="76">
        <v>101</v>
      </c>
      <c r="Q56" s="25" t="s">
        <v>252</v>
      </c>
      <c r="R56" s="73" t="s">
        <v>145</v>
      </c>
      <c r="S56" s="257" t="s">
        <v>438</v>
      </c>
      <c r="T56" s="78" t="s">
        <v>406</v>
      </c>
      <c r="U56" s="260">
        <v>70</v>
      </c>
    </row>
    <row r="57" spans="1:21" ht="30.75">
      <c r="A57" s="95" t="s">
        <v>291</v>
      </c>
      <c r="B57" s="96">
        <v>0</v>
      </c>
      <c r="C57" s="96">
        <v>0</v>
      </c>
      <c r="D57" s="96"/>
      <c r="I57" s="72" t="s">
        <v>232</v>
      </c>
      <c r="J57" s="73" t="s">
        <v>124</v>
      </c>
      <c r="K57" s="257" t="s">
        <v>437</v>
      </c>
      <c r="L57" s="78"/>
      <c r="M57" s="76">
        <v>101</v>
      </c>
      <c r="Q57" s="25" t="s">
        <v>254</v>
      </c>
      <c r="R57" s="73" t="s">
        <v>145</v>
      </c>
      <c r="S57" s="257" t="s">
        <v>438</v>
      </c>
      <c r="T57" s="78" t="s">
        <v>406</v>
      </c>
      <c r="U57" s="260">
        <v>70</v>
      </c>
    </row>
    <row r="58" spans="1:21">
      <c r="A58" s="95" t="s">
        <v>288</v>
      </c>
      <c r="B58" s="96">
        <v>0</v>
      </c>
      <c r="C58" s="96">
        <v>0</v>
      </c>
      <c r="D58" s="96"/>
      <c r="I58" s="79"/>
      <c r="J58" s="80"/>
      <c r="K58" s="81"/>
      <c r="L58" s="82"/>
      <c r="M58" s="83"/>
      <c r="Q58" s="79"/>
      <c r="R58" s="80"/>
      <c r="S58" s="81"/>
      <c r="T58" s="82"/>
      <c r="U58" s="83"/>
    </row>
    <row r="59" spans="1:21">
      <c r="A59" s="95" t="s">
        <v>398</v>
      </c>
      <c r="B59" s="96">
        <v>0</v>
      </c>
      <c r="C59" s="96">
        <v>0</v>
      </c>
      <c r="D59" s="96"/>
      <c r="I59" s="67" t="s">
        <v>234</v>
      </c>
      <c r="J59" s="80"/>
      <c r="K59" s="81"/>
      <c r="L59" s="82"/>
      <c r="M59" s="83"/>
      <c r="Q59" s="67" t="s">
        <v>234</v>
      </c>
      <c r="R59" s="80"/>
      <c r="S59" s="81"/>
      <c r="T59" s="82"/>
      <c r="U59" s="83"/>
    </row>
    <row r="60" spans="1:21">
      <c r="A60" s="95" t="s">
        <v>290</v>
      </c>
      <c r="B60" s="96">
        <v>765</v>
      </c>
      <c r="C60" s="96">
        <v>5</v>
      </c>
      <c r="D60" s="96"/>
      <c r="I60" s="72" t="s">
        <v>303</v>
      </c>
      <c r="J60" s="84"/>
      <c r="K60" s="85"/>
      <c r="L60" s="86"/>
      <c r="M60" s="87"/>
      <c r="Q60" s="25" t="s">
        <v>256</v>
      </c>
      <c r="R60" s="84" t="s">
        <v>145</v>
      </c>
      <c r="S60" s="234" t="s">
        <v>439</v>
      </c>
      <c r="T60" s="86"/>
      <c r="U60" s="87">
        <v>36</v>
      </c>
    </row>
    <row r="61" spans="1:21">
      <c r="A61" s="95" t="s">
        <v>399</v>
      </c>
      <c r="B61" s="96">
        <v>0</v>
      </c>
      <c r="C61" s="96">
        <v>0</v>
      </c>
      <c r="D61" s="96"/>
      <c r="I61" s="72" t="s">
        <v>303</v>
      </c>
      <c r="J61" s="84"/>
      <c r="K61" s="85"/>
      <c r="L61" s="86"/>
      <c r="M61" s="87"/>
      <c r="Q61" s="25" t="s">
        <v>256</v>
      </c>
      <c r="R61" s="84" t="s">
        <v>145</v>
      </c>
      <c r="S61" s="234" t="s">
        <v>439</v>
      </c>
      <c r="T61" s="86"/>
      <c r="U61" s="87">
        <v>36</v>
      </c>
    </row>
    <row r="62" spans="1:21">
      <c r="A62" s="95" t="s">
        <v>400</v>
      </c>
      <c r="B62" s="96">
        <v>0</v>
      </c>
      <c r="C62" s="96">
        <v>0</v>
      </c>
      <c r="D62" s="96"/>
      <c r="I62" s="72" t="s">
        <v>305</v>
      </c>
      <c r="J62" s="84"/>
      <c r="K62" s="85"/>
      <c r="L62" s="86"/>
      <c r="M62" s="87"/>
      <c r="Q62" s="25" t="s">
        <v>256</v>
      </c>
      <c r="R62" s="84" t="s">
        <v>145</v>
      </c>
      <c r="S62" s="234" t="s">
        <v>439</v>
      </c>
      <c r="T62" s="86"/>
      <c r="U62" s="87">
        <v>36</v>
      </c>
    </row>
    <row r="63" spans="1:21">
      <c r="A63" s="95" t="s">
        <v>400</v>
      </c>
      <c r="B63" s="96">
        <v>0</v>
      </c>
      <c r="C63" s="96">
        <v>0</v>
      </c>
      <c r="D63" s="96"/>
      <c r="I63" s="72" t="s">
        <v>306</v>
      </c>
      <c r="J63" s="84" t="s">
        <v>145</v>
      </c>
      <c r="K63" s="234" t="s">
        <v>431</v>
      </c>
      <c r="L63" s="86"/>
      <c r="M63" s="87">
        <v>86</v>
      </c>
      <c r="Q63" s="72" t="s">
        <v>271</v>
      </c>
      <c r="R63" s="84"/>
      <c r="S63" s="85"/>
      <c r="T63" s="86"/>
      <c r="U63" s="87"/>
    </row>
    <row r="64" spans="1:21">
      <c r="A64" s="96"/>
      <c r="B64" s="94">
        <v>1100</v>
      </c>
      <c r="C64" s="94">
        <v>15</v>
      </c>
      <c r="D64" s="96"/>
      <c r="I64" s="72" t="s">
        <v>309</v>
      </c>
      <c r="J64" s="84"/>
      <c r="K64" s="85"/>
      <c r="L64" s="86"/>
      <c r="M64" s="87"/>
      <c r="Q64" s="72" t="s">
        <v>271</v>
      </c>
      <c r="R64" s="84"/>
      <c r="S64" s="85"/>
      <c r="T64" s="86"/>
      <c r="U64" s="87"/>
    </row>
    <row r="65" spans="9:21">
      <c r="I65" s="72" t="s">
        <v>309</v>
      </c>
      <c r="J65" s="84"/>
      <c r="K65" s="85"/>
      <c r="L65" s="86"/>
      <c r="M65" s="87"/>
      <c r="Q65" s="72" t="s">
        <v>271</v>
      </c>
      <c r="R65" s="84"/>
      <c r="S65" s="85"/>
      <c r="T65" s="86"/>
      <c r="U65" s="87"/>
    </row>
    <row r="66" spans="9:21">
      <c r="I66" s="72" t="s">
        <v>375</v>
      </c>
      <c r="J66" s="84"/>
      <c r="K66" s="85"/>
      <c r="L66" s="86"/>
      <c r="M66" s="87"/>
      <c r="Q66" s="72" t="s">
        <v>271</v>
      </c>
      <c r="R66" s="84"/>
      <c r="S66" s="85"/>
      <c r="T66" s="86"/>
      <c r="U66" s="87"/>
    </row>
    <row r="67" spans="9:21">
      <c r="I67" s="72" t="s">
        <v>235</v>
      </c>
      <c r="J67" s="84" t="s">
        <v>145</v>
      </c>
      <c r="K67" s="234" t="s">
        <v>422</v>
      </c>
      <c r="L67" s="86"/>
      <c r="M67" s="87">
        <v>40</v>
      </c>
      <c r="Q67" s="72" t="s">
        <v>271</v>
      </c>
      <c r="R67" s="84"/>
      <c r="S67" s="85"/>
      <c r="T67" s="86"/>
      <c r="U67" s="87"/>
    </row>
    <row r="68" spans="9:21">
      <c r="I68" s="72" t="s">
        <v>240</v>
      </c>
      <c r="J68" s="84" t="s">
        <v>145</v>
      </c>
      <c r="K68" s="234" t="s">
        <v>424</v>
      </c>
      <c r="L68" s="86"/>
      <c r="M68" s="87">
        <v>18</v>
      </c>
      <c r="Q68" s="42"/>
      <c r="R68" s="80"/>
      <c r="S68" s="81"/>
      <c r="T68" s="82"/>
      <c r="U68" s="83"/>
    </row>
    <row r="69" spans="9:21">
      <c r="I69" s="72" t="s">
        <v>240</v>
      </c>
      <c r="J69" s="84"/>
      <c r="K69" s="85"/>
      <c r="L69" s="86"/>
      <c r="M69" s="87"/>
      <c r="Q69" s="42"/>
      <c r="R69" s="80"/>
      <c r="S69" s="81"/>
      <c r="T69" s="82"/>
      <c r="U69" s="83"/>
    </row>
    <row r="70" spans="9:21">
      <c r="I70" s="72" t="s">
        <v>240</v>
      </c>
      <c r="J70" s="84"/>
      <c r="K70" s="85"/>
      <c r="L70" s="86"/>
      <c r="M70" s="87"/>
      <c r="Q70" s="67" t="s">
        <v>242</v>
      </c>
      <c r="R70" s="84"/>
      <c r="S70" s="85"/>
      <c r="T70" s="86"/>
      <c r="U70" s="87">
        <v>269</v>
      </c>
    </row>
    <row r="71" spans="9:21">
      <c r="I71" s="72" t="s">
        <v>240</v>
      </c>
      <c r="J71" s="84"/>
      <c r="K71" s="85"/>
      <c r="L71" s="86"/>
      <c r="M71" s="87"/>
      <c r="Q71" s="67" t="s">
        <v>243</v>
      </c>
      <c r="R71" s="84"/>
      <c r="S71" s="85"/>
      <c r="T71" s="86"/>
      <c r="U71" s="87">
        <v>6</v>
      </c>
    </row>
    <row r="72" spans="9:21">
      <c r="I72" s="72" t="s">
        <v>240</v>
      </c>
      <c r="J72" s="84"/>
      <c r="K72" s="85"/>
      <c r="L72" s="86"/>
      <c r="M72" s="87"/>
    </row>
    <row r="73" spans="9:21">
      <c r="I73" s="42"/>
      <c r="J73" s="80"/>
      <c r="K73" s="81"/>
      <c r="L73" s="82"/>
      <c r="M73" s="83"/>
      <c r="Q73" s="90"/>
      <c r="R73" s="91"/>
      <c r="S73" s="92" t="s">
        <v>274</v>
      </c>
      <c r="T73" s="103"/>
    </row>
    <row r="74" spans="9:21">
      <c r="I74" s="42"/>
      <c r="J74" s="80"/>
      <c r="K74" s="81"/>
      <c r="L74" s="82"/>
      <c r="M74" s="83"/>
      <c r="Q74" s="67" t="s">
        <v>275</v>
      </c>
      <c r="R74" s="73" t="s">
        <v>54</v>
      </c>
      <c r="S74" s="81"/>
      <c r="T74" s="103"/>
    </row>
    <row r="75" spans="9:21">
      <c r="I75" s="67" t="s">
        <v>242</v>
      </c>
      <c r="J75" s="84"/>
      <c r="K75" s="85"/>
      <c r="L75" s="86"/>
      <c r="M75" s="87">
        <f>SUM(M55:M72)</f>
        <v>367</v>
      </c>
      <c r="Q75" s="67" t="s">
        <v>277</v>
      </c>
      <c r="R75" s="73" t="s">
        <v>440</v>
      </c>
      <c r="S75" s="81"/>
      <c r="T75" s="103"/>
    </row>
    <row r="76" spans="9:21">
      <c r="I76" s="67" t="s">
        <v>243</v>
      </c>
      <c r="J76" s="84"/>
      <c r="K76" s="85"/>
      <c r="L76" s="86"/>
      <c r="M76" s="87">
        <v>6</v>
      </c>
      <c r="Q76" s="67" t="s">
        <v>278</v>
      </c>
      <c r="R76" s="73">
        <v>1</v>
      </c>
      <c r="S76" s="81"/>
      <c r="T76" s="103"/>
    </row>
    <row r="77" spans="9:21">
      <c r="Q77" s="67" t="s">
        <v>282</v>
      </c>
      <c r="R77" s="73" t="s">
        <v>441</v>
      </c>
      <c r="S77" s="81"/>
      <c r="T77" s="103"/>
    </row>
    <row r="78" spans="9:21">
      <c r="I78" s="90"/>
      <c r="J78" s="91"/>
      <c r="K78" s="92" t="s">
        <v>274</v>
      </c>
      <c r="L78" s="103"/>
      <c r="Q78" s="93"/>
      <c r="R78" s="80"/>
      <c r="S78" s="81"/>
      <c r="T78" s="103"/>
    </row>
    <row r="79" spans="9:21">
      <c r="I79" s="67" t="s">
        <v>275</v>
      </c>
      <c r="J79" s="73" t="s">
        <v>54</v>
      </c>
      <c r="K79" s="81"/>
      <c r="L79" s="103"/>
      <c r="Q79" s="94" t="s">
        <v>284</v>
      </c>
      <c r="R79" s="94"/>
      <c r="S79" s="94"/>
      <c r="T79" s="103"/>
    </row>
    <row r="80" spans="9:21">
      <c r="I80" s="67" t="s">
        <v>277</v>
      </c>
      <c r="J80" s="73" t="s">
        <v>442</v>
      </c>
      <c r="K80" s="81"/>
      <c r="L80" s="103"/>
      <c r="Q80" s="94"/>
      <c r="R80" s="94" t="s">
        <v>285</v>
      </c>
      <c r="S80" s="94" t="s">
        <v>15</v>
      </c>
      <c r="T80" s="94" t="s">
        <v>5</v>
      </c>
    </row>
    <row r="81" spans="9:20">
      <c r="I81" s="67" t="s">
        <v>278</v>
      </c>
      <c r="J81" s="73">
        <v>2</v>
      </c>
      <c r="K81" s="81"/>
      <c r="L81" s="103"/>
      <c r="Q81" s="95" t="s">
        <v>393</v>
      </c>
      <c r="R81" s="95"/>
      <c r="S81" s="95"/>
      <c r="T81" s="96"/>
    </row>
    <row r="82" spans="9:20">
      <c r="I82" s="67" t="s">
        <v>282</v>
      </c>
      <c r="J82" s="73" t="s">
        <v>34</v>
      </c>
      <c r="K82" s="81"/>
      <c r="L82" s="103"/>
      <c r="Q82" s="96" t="s">
        <v>286</v>
      </c>
      <c r="R82" s="96">
        <v>451</v>
      </c>
      <c r="S82" s="96">
        <v>8</v>
      </c>
      <c r="T82" s="96"/>
    </row>
    <row r="83" spans="9:20">
      <c r="I83" s="93"/>
      <c r="J83" s="80"/>
      <c r="K83" s="81"/>
      <c r="L83" s="103"/>
      <c r="Q83" s="96" t="s">
        <v>287</v>
      </c>
      <c r="R83" s="96">
        <v>380</v>
      </c>
      <c r="S83" s="96">
        <v>6</v>
      </c>
      <c r="T83" s="96"/>
    </row>
    <row r="84" spans="9:20">
      <c r="I84" s="94" t="s">
        <v>284</v>
      </c>
      <c r="J84" s="94"/>
      <c r="K84" s="94"/>
      <c r="L84" s="103"/>
      <c r="Q84" s="96" t="s">
        <v>289</v>
      </c>
      <c r="R84" s="96">
        <v>0</v>
      </c>
      <c r="S84" s="96">
        <v>0</v>
      </c>
      <c r="T84" s="96"/>
    </row>
    <row r="85" spans="9:20">
      <c r="I85" s="94"/>
      <c r="J85" s="94" t="s">
        <v>285</v>
      </c>
      <c r="K85" s="94" t="s">
        <v>15</v>
      </c>
      <c r="L85" s="94" t="s">
        <v>5</v>
      </c>
      <c r="Q85" s="96" t="s">
        <v>396</v>
      </c>
      <c r="R85" s="96">
        <v>269</v>
      </c>
      <c r="S85" s="96">
        <v>6</v>
      </c>
      <c r="T85" s="96"/>
    </row>
    <row r="86" spans="9:20">
      <c r="I86" s="95" t="s">
        <v>393</v>
      </c>
      <c r="J86" s="95">
        <v>49</v>
      </c>
      <c r="K86" s="95">
        <v>1</v>
      </c>
      <c r="L86" s="96" t="s">
        <v>443</v>
      </c>
      <c r="Q86" s="95" t="s">
        <v>397</v>
      </c>
      <c r="R86" s="96">
        <v>0</v>
      </c>
      <c r="S86" s="96">
        <v>0</v>
      </c>
      <c r="T86" s="96"/>
    </row>
    <row r="87" spans="9:20">
      <c r="I87" s="96" t="s">
        <v>286</v>
      </c>
      <c r="J87" s="96">
        <f>M25</f>
        <v>350</v>
      </c>
      <c r="K87" s="96">
        <v>8</v>
      </c>
      <c r="L87" s="96"/>
      <c r="Q87" s="95" t="s">
        <v>291</v>
      </c>
      <c r="R87" s="96">
        <v>0</v>
      </c>
      <c r="S87" s="96">
        <v>0</v>
      </c>
      <c r="T87" s="96"/>
    </row>
    <row r="88" spans="9:20">
      <c r="I88" s="96" t="s">
        <v>287</v>
      </c>
      <c r="J88" s="96">
        <f>M50</f>
        <v>332</v>
      </c>
      <c r="K88" s="96">
        <v>5</v>
      </c>
      <c r="L88" s="96"/>
      <c r="Q88" s="95" t="s">
        <v>288</v>
      </c>
      <c r="R88" s="96">
        <v>0</v>
      </c>
      <c r="S88" s="96">
        <v>0</v>
      </c>
      <c r="T88" s="96"/>
    </row>
    <row r="89" spans="9:20">
      <c r="I89" s="96" t="s">
        <v>289</v>
      </c>
      <c r="J89" s="96">
        <f>M75</f>
        <v>367</v>
      </c>
      <c r="K89" s="96">
        <v>6</v>
      </c>
      <c r="L89" s="96"/>
      <c r="Q89" s="95" t="s">
        <v>398</v>
      </c>
      <c r="R89" s="96">
        <v>0</v>
      </c>
      <c r="S89" s="96">
        <v>0</v>
      </c>
      <c r="T89" s="96"/>
    </row>
    <row r="90" spans="9:20">
      <c r="I90" s="96" t="s">
        <v>396</v>
      </c>
      <c r="J90" s="96">
        <v>0</v>
      </c>
      <c r="K90" s="96">
        <v>0</v>
      </c>
      <c r="L90" s="96"/>
      <c r="Q90" s="95" t="s">
        <v>290</v>
      </c>
      <c r="R90" s="96">
        <v>0</v>
      </c>
      <c r="S90" s="96">
        <v>0</v>
      </c>
      <c r="T90" s="96"/>
    </row>
    <row r="91" spans="9:20">
      <c r="I91" s="95" t="s">
        <v>397</v>
      </c>
      <c r="J91" s="96">
        <v>0</v>
      </c>
      <c r="K91" s="96">
        <v>0</v>
      </c>
      <c r="L91" s="96"/>
      <c r="Q91" s="95" t="s">
        <v>399</v>
      </c>
      <c r="R91" s="96">
        <v>0</v>
      </c>
      <c r="S91" s="96">
        <v>0</v>
      </c>
      <c r="T91" s="96"/>
    </row>
    <row r="92" spans="9:20">
      <c r="I92" s="95" t="s">
        <v>291</v>
      </c>
      <c r="J92" s="96">
        <v>0</v>
      </c>
      <c r="K92" s="96">
        <v>0</v>
      </c>
      <c r="L92" s="96"/>
      <c r="Q92" s="95" t="s">
        <v>400</v>
      </c>
      <c r="R92" s="96">
        <v>0</v>
      </c>
      <c r="S92" s="96">
        <v>0</v>
      </c>
      <c r="T92" s="96"/>
    </row>
    <row r="93" spans="9:20">
      <c r="I93" s="95" t="s">
        <v>288</v>
      </c>
      <c r="J93" s="96">
        <v>0</v>
      </c>
      <c r="K93" s="96">
        <v>0</v>
      </c>
      <c r="L93" s="96"/>
      <c r="Q93" s="95" t="s">
        <v>400</v>
      </c>
      <c r="R93" s="96">
        <v>0</v>
      </c>
      <c r="S93" s="96">
        <v>0</v>
      </c>
      <c r="T93" s="96"/>
    </row>
    <row r="94" spans="9:20">
      <c r="I94" s="95" t="s">
        <v>398</v>
      </c>
      <c r="J94" s="96">
        <v>0</v>
      </c>
      <c r="K94" s="96">
        <v>0</v>
      </c>
      <c r="L94" s="96"/>
      <c r="Q94" s="96"/>
      <c r="R94" s="94">
        <v>1100</v>
      </c>
      <c r="S94" s="94">
        <v>20</v>
      </c>
      <c r="T94" s="96"/>
    </row>
    <row r="95" spans="9:20">
      <c r="I95" s="95" t="s">
        <v>290</v>
      </c>
      <c r="J95" s="96">
        <v>0</v>
      </c>
      <c r="K95" s="96">
        <v>0</v>
      </c>
      <c r="L95" s="96"/>
    </row>
    <row r="96" spans="9:20">
      <c r="I96" s="95" t="s">
        <v>399</v>
      </c>
      <c r="J96" s="96">
        <v>0</v>
      </c>
      <c r="K96" s="96">
        <v>0</v>
      </c>
      <c r="L96" s="96"/>
    </row>
    <row r="97" spans="9:12">
      <c r="I97" s="95" t="s">
        <v>400</v>
      </c>
      <c r="J97" s="96">
        <v>0</v>
      </c>
      <c r="K97" s="96">
        <v>0</v>
      </c>
      <c r="L97" s="96"/>
    </row>
    <row r="98" spans="9:12">
      <c r="I98" s="95" t="s">
        <v>400</v>
      </c>
      <c r="J98" s="96">
        <v>0</v>
      </c>
      <c r="K98" s="96">
        <v>0</v>
      </c>
      <c r="L98" s="96"/>
    </row>
    <row r="99" spans="9:12">
      <c r="I99" s="96"/>
      <c r="J99" s="94">
        <f>SUM(J86:J98)</f>
        <v>1098</v>
      </c>
      <c r="K99" s="94">
        <v>20</v>
      </c>
      <c r="L99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D9E2-0B4B-4F36-B1D3-658035AD7174}">
  <dimension ref="A3:U98"/>
  <sheetViews>
    <sheetView topLeftCell="A81" workbookViewId="0">
      <selection activeCell="A4" sqref="A4"/>
    </sheetView>
  </sheetViews>
  <sheetFormatPr defaultRowHeight="15"/>
  <cols>
    <col min="1" max="1" width="26.5703125" bestFit="1" customWidth="1"/>
    <col min="2" max="2" width="19.140625" bestFit="1" customWidth="1"/>
    <col min="3" max="3" width="42.7109375" customWidth="1"/>
    <col min="9" max="9" width="37.7109375" bestFit="1" customWidth="1"/>
    <col min="10" max="10" width="19.140625" bestFit="1" customWidth="1"/>
    <col min="11" max="11" width="31.7109375" bestFit="1" customWidth="1"/>
    <col min="17" max="17" width="37.7109375" bestFit="1" customWidth="1"/>
    <col min="18" max="18" width="19.140625" bestFit="1" customWidth="1"/>
    <col min="19" max="19" width="31.7109375" bestFit="1" customWidth="1"/>
  </cols>
  <sheetData>
    <row r="3" spans="1:21">
      <c r="A3" t="s">
        <v>34</v>
      </c>
      <c r="B3" t="s">
        <v>52</v>
      </c>
      <c r="I3" t="s">
        <v>30</v>
      </c>
      <c r="J3" t="s">
        <v>52</v>
      </c>
      <c r="Q3" t="s">
        <v>31</v>
      </c>
      <c r="R3" t="s">
        <v>52</v>
      </c>
    </row>
    <row r="4" spans="1:21" ht="45.75">
      <c r="A4" s="85"/>
      <c r="B4" s="43" t="s">
        <v>215</v>
      </c>
      <c r="C4" s="65" t="s">
        <v>216</v>
      </c>
      <c r="D4" s="233" t="s">
        <v>217</v>
      </c>
      <c r="E4" s="65" t="s">
        <v>218</v>
      </c>
      <c r="I4" s="85"/>
      <c r="J4" s="43" t="s">
        <v>215</v>
      </c>
      <c r="K4" s="65" t="s">
        <v>216</v>
      </c>
      <c r="L4" s="233" t="s">
        <v>217</v>
      </c>
      <c r="M4" s="65" t="s">
        <v>218</v>
      </c>
      <c r="Q4" s="85"/>
      <c r="R4" s="43" t="s">
        <v>215</v>
      </c>
      <c r="S4" s="65" t="s">
        <v>216</v>
      </c>
      <c r="T4" s="233" t="s">
        <v>217</v>
      </c>
      <c r="U4" s="65" t="s">
        <v>218</v>
      </c>
    </row>
    <row r="5" spans="1:21">
      <c r="A5" s="65" t="s">
        <v>296</v>
      </c>
      <c r="B5" s="125"/>
      <c r="C5" s="234"/>
      <c r="D5" s="235"/>
      <c r="E5" s="234"/>
      <c r="I5" s="65" t="s">
        <v>296</v>
      </c>
      <c r="J5" s="125"/>
      <c r="K5" s="234"/>
      <c r="L5" s="235"/>
      <c r="M5" s="234"/>
      <c r="Q5" s="65" t="s">
        <v>296</v>
      </c>
      <c r="R5" s="125"/>
      <c r="S5" s="234"/>
      <c r="T5" s="235"/>
      <c r="U5" s="234"/>
    </row>
    <row r="6" spans="1:21">
      <c r="A6" s="234" t="s">
        <v>220</v>
      </c>
      <c r="B6" s="111" t="s">
        <v>249</v>
      </c>
      <c r="C6" s="234" t="s">
        <v>297</v>
      </c>
      <c r="D6" s="115" t="s">
        <v>78</v>
      </c>
      <c r="E6" s="114">
        <v>21</v>
      </c>
      <c r="I6" s="234" t="s">
        <v>220</v>
      </c>
      <c r="J6" s="111" t="s">
        <v>249</v>
      </c>
      <c r="K6" s="234" t="s">
        <v>297</v>
      </c>
      <c r="L6" s="115" t="s">
        <v>78</v>
      </c>
      <c r="M6" s="114">
        <v>21</v>
      </c>
      <c r="Q6" s="234" t="s">
        <v>220</v>
      </c>
      <c r="R6" s="111" t="s">
        <v>249</v>
      </c>
      <c r="S6" s="234" t="s">
        <v>297</v>
      </c>
      <c r="T6" s="115"/>
      <c r="U6" s="114">
        <v>21</v>
      </c>
    </row>
    <row r="7" spans="1:21">
      <c r="A7" s="234" t="s">
        <v>226</v>
      </c>
      <c r="B7" s="111" t="s">
        <v>162</v>
      </c>
      <c r="C7" s="255" t="s">
        <v>444</v>
      </c>
      <c r="D7" s="117" t="s">
        <v>78</v>
      </c>
      <c r="E7" s="114">
        <v>100</v>
      </c>
      <c r="I7" s="234" t="s">
        <v>226</v>
      </c>
      <c r="J7" s="111" t="s">
        <v>162</v>
      </c>
      <c r="K7" s="255" t="s">
        <v>444</v>
      </c>
      <c r="L7" s="117" t="s">
        <v>78</v>
      </c>
      <c r="M7" s="114">
        <v>100</v>
      </c>
      <c r="Q7" s="234" t="s">
        <v>226</v>
      </c>
      <c r="R7" s="111" t="s">
        <v>162</v>
      </c>
      <c r="S7" s="255" t="s">
        <v>445</v>
      </c>
      <c r="T7" s="117"/>
      <c r="U7" s="114">
        <v>65</v>
      </c>
    </row>
    <row r="8" spans="1:21">
      <c r="A8" s="234" t="s">
        <v>232</v>
      </c>
      <c r="B8" s="111" t="s">
        <v>162</v>
      </c>
      <c r="C8" s="255" t="s">
        <v>444</v>
      </c>
      <c r="D8" s="117" t="s">
        <v>78</v>
      </c>
      <c r="E8" s="114">
        <v>100</v>
      </c>
      <c r="I8" s="234" t="s">
        <v>232</v>
      </c>
      <c r="J8" s="111" t="s">
        <v>162</v>
      </c>
      <c r="K8" s="255" t="s">
        <v>444</v>
      </c>
      <c r="L8" s="117" t="s">
        <v>78</v>
      </c>
      <c r="M8" s="114">
        <v>100</v>
      </c>
      <c r="Q8" s="234" t="s">
        <v>232</v>
      </c>
      <c r="R8" s="111" t="s">
        <v>162</v>
      </c>
      <c r="S8" s="255" t="s">
        <v>445</v>
      </c>
      <c r="T8" s="117"/>
      <c r="U8" s="114">
        <v>65</v>
      </c>
    </row>
    <row r="9" spans="1:21">
      <c r="A9" s="234"/>
      <c r="B9" s="84"/>
      <c r="C9" s="85"/>
      <c r="D9" s="86"/>
      <c r="E9" s="85"/>
      <c r="I9" s="234"/>
      <c r="J9" s="84"/>
      <c r="K9" s="85"/>
      <c r="L9" s="86"/>
      <c r="M9" s="85"/>
      <c r="Q9" s="234"/>
      <c r="R9" s="84"/>
      <c r="S9" s="85"/>
      <c r="T9" s="86"/>
      <c r="U9" s="85"/>
    </row>
    <row r="10" spans="1:21">
      <c r="A10" s="65" t="s">
        <v>234</v>
      </c>
      <c r="B10" s="84"/>
      <c r="C10" s="85"/>
      <c r="D10" s="86"/>
      <c r="E10" s="85"/>
      <c r="I10" s="65" t="s">
        <v>234</v>
      </c>
      <c r="J10" s="84"/>
      <c r="K10" s="85"/>
      <c r="L10" s="86"/>
      <c r="M10" s="85"/>
      <c r="Q10" s="65" t="s">
        <v>234</v>
      </c>
      <c r="R10" s="84"/>
      <c r="S10" s="85"/>
      <c r="T10" s="86"/>
      <c r="U10" s="85"/>
    </row>
    <row r="11" spans="1:21">
      <c r="A11" s="234" t="s">
        <v>303</v>
      </c>
      <c r="B11" s="111"/>
      <c r="C11" s="116"/>
      <c r="D11" s="117"/>
      <c r="E11" s="114"/>
      <c r="I11" s="234" t="s">
        <v>303</v>
      </c>
      <c r="J11" s="111"/>
      <c r="K11" s="116"/>
      <c r="L11" s="117"/>
      <c r="M11" s="114"/>
      <c r="Q11" s="234" t="s">
        <v>303</v>
      </c>
      <c r="R11" s="111"/>
      <c r="S11" s="116"/>
      <c r="T11" s="117"/>
      <c r="U11" s="114"/>
    </row>
    <row r="12" spans="1:21">
      <c r="A12" s="234" t="s">
        <v>303</v>
      </c>
      <c r="B12" s="111"/>
      <c r="C12" s="116"/>
      <c r="D12" s="117"/>
      <c r="E12" s="114"/>
      <c r="I12" s="234" t="s">
        <v>303</v>
      </c>
      <c r="J12" s="111"/>
      <c r="K12" s="116"/>
      <c r="L12" s="117"/>
      <c r="M12" s="114"/>
      <c r="Q12" s="234" t="s">
        <v>303</v>
      </c>
      <c r="R12" s="111"/>
      <c r="S12" s="116"/>
      <c r="T12" s="117"/>
      <c r="U12" s="114"/>
    </row>
    <row r="13" spans="1:21">
      <c r="A13" s="234" t="s">
        <v>305</v>
      </c>
      <c r="B13" s="84"/>
      <c r="C13" s="85"/>
      <c r="D13" s="86"/>
      <c r="E13" s="85"/>
      <c r="I13" s="234" t="s">
        <v>305</v>
      </c>
      <c r="J13" s="84"/>
      <c r="K13" s="85"/>
      <c r="L13" s="86"/>
      <c r="M13" s="85"/>
      <c r="Q13" s="234" t="s">
        <v>305</v>
      </c>
      <c r="R13" s="84"/>
      <c r="S13" s="85"/>
      <c r="T13" s="86"/>
      <c r="U13" s="85"/>
    </row>
    <row r="14" spans="1:21">
      <c r="A14" s="234" t="s">
        <v>306</v>
      </c>
      <c r="B14" s="84"/>
      <c r="C14" s="85"/>
      <c r="D14" s="86"/>
      <c r="E14" s="85"/>
      <c r="I14" s="234" t="s">
        <v>306</v>
      </c>
      <c r="J14" s="84"/>
      <c r="K14" s="85"/>
      <c r="L14" s="86"/>
      <c r="M14" s="85"/>
      <c r="Q14" s="234" t="s">
        <v>306</v>
      </c>
      <c r="R14" s="84"/>
      <c r="S14" s="85"/>
      <c r="T14" s="86"/>
      <c r="U14" s="85"/>
    </row>
    <row r="15" spans="1:21">
      <c r="A15" s="234" t="s">
        <v>309</v>
      </c>
      <c r="B15" s="84"/>
      <c r="C15" s="85"/>
      <c r="D15" s="86"/>
      <c r="E15" s="85"/>
      <c r="I15" s="234" t="s">
        <v>309</v>
      </c>
      <c r="J15" s="84"/>
      <c r="K15" s="85"/>
      <c r="L15" s="86"/>
      <c r="M15" s="85"/>
      <c r="Q15" s="234" t="s">
        <v>309</v>
      </c>
      <c r="R15" s="84" t="s">
        <v>162</v>
      </c>
      <c r="S15" s="234" t="s">
        <v>446</v>
      </c>
      <c r="T15" s="86"/>
      <c r="U15" s="85">
        <v>35</v>
      </c>
    </row>
    <row r="16" spans="1:21">
      <c r="A16" s="234" t="s">
        <v>309</v>
      </c>
      <c r="B16" s="84"/>
      <c r="C16" s="85"/>
      <c r="D16" s="86"/>
      <c r="E16" s="85"/>
      <c r="I16" s="234" t="s">
        <v>309</v>
      </c>
      <c r="J16" s="84"/>
      <c r="K16" s="85"/>
      <c r="L16" s="86"/>
      <c r="M16" s="85"/>
      <c r="Q16" s="234" t="s">
        <v>309</v>
      </c>
      <c r="R16" s="84" t="s">
        <v>162</v>
      </c>
      <c r="S16" s="234" t="s">
        <v>446</v>
      </c>
      <c r="T16" s="86"/>
      <c r="U16" s="85">
        <v>35</v>
      </c>
    </row>
    <row r="17" spans="1:21">
      <c r="A17" s="234" t="s">
        <v>310</v>
      </c>
      <c r="B17" s="84" t="s">
        <v>124</v>
      </c>
      <c r="C17" s="234" t="s">
        <v>11</v>
      </c>
      <c r="D17" s="86" t="s">
        <v>78</v>
      </c>
      <c r="E17" s="85">
        <v>67</v>
      </c>
      <c r="I17" s="234" t="s">
        <v>310</v>
      </c>
      <c r="J17" s="84" t="s">
        <v>124</v>
      </c>
      <c r="K17" s="234" t="s">
        <v>11</v>
      </c>
      <c r="L17" s="86" t="s">
        <v>78</v>
      </c>
      <c r="M17" s="85">
        <v>67</v>
      </c>
      <c r="N17" t="s">
        <v>447</v>
      </c>
      <c r="Q17" s="234" t="s">
        <v>310</v>
      </c>
      <c r="R17" s="84"/>
      <c r="S17" s="234"/>
      <c r="T17" s="86"/>
      <c r="U17" s="85"/>
    </row>
    <row r="18" spans="1:21">
      <c r="A18" s="234" t="s">
        <v>235</v>
      </c>
      <c r="B18" s="84"/>
      <c r="C18" s="85"/>
      <c r="D18" s="86"/>
      <c r="E18" s="85"/>
      <c r="I18" s="234" t="s">
        <v>235</v>
      </c>
      <c r="J18" s="84" t="s">
        <v>249</v>
      </c>
      <c r="K18" s="234" t="s">
        <v>448</v>
      </c>
      <c r="L18" s="86" t="s">
        <v>78</v>
      </c>
      <c r="M18" s="85">
        <v>36</v>
      </c>
      <c r="Q18" s="234" t="s">
        <v>235</v>
      </c>
      <c r="R18" s="84"/>
      <c r="S18" s="85"/>
      <c r="T18" s="86"/>
      <c r="U18" s="85"/>
    </row>
    <row r="19" spans="1:21">
      <c r="A19" s="234" t="s">
        <v>240</v>
      </c>
      <c r="B19" s="84"/>
      <c r="C19" s="85"/>
      <c r="D19" s="86"/>
      <c r="E19" s="85"/>
      <c r="I19" s="234" t="s">
        <v>240</v>
      </c>
      <c r="J19" s="84" t="s">
        <v>162</v>
      </c>
      <c r="K19" s="234" t="s">
        <v>449</v>
      </c>
      <c r="L19" s="86" t="s">
        <v>78</v>
      </c>
      <c r="M19" s="85">
        <v>18</v>
      </c>
      <c r="Q19" s="234" t="s">
        <v>240</v>
      </c>
      <c r="R19" s="84"/>
      <c r="S19" s="85"/>
      <c r="T19" s="86"/>
      <c r="U19" s="85"/>
    </row>
    <row r="20" spans="1:21">
      <c r="A20" s="234" t="s">
        <v>240</v>
      </c>
      <c r="B20" s="84"/>
      <c r="C20" s="85"/>
      <c r="D20" s="86"/>
      <c r="E20" s="85"/>
      <c r="I20" s="234" t="s">
        <v>240</v>
      </c>
      <c r="J20" s="84"/>
      <c r="K20" s="85"/>
      <c r="L20" s="86"/>
      <c r="M20" s="85"/>
      <c r="Q20" s="234" t="s">
        <v>240</v>
      </c>
      <c r="R20" s="84"/>
      <c r="S20" s="85"/>
      <c r="T20" s="86"/>
      <c r="U20" s="85"/>
    </row>
    <row r="21" spans="1:21">
      <c r="A21" s="234" t="s">
        <v>240</v>
      </c>
      <c r="B21" s="84"/>
      <c r="C21" s="85"/>
      <c r="D21" s="86"/>
      <c r="E21" s="85"/>
      <c r="I21" s="234" t="s">
        <v>240</v>
      </c>
      <c r="J21" s="84"/>
      <c r="K21" s="85"/>
      <c r="L21" s="86"/>
      <c r="M21" s="85"/>
      <c r="Q21" s="234" t="s">
        <v>240</v>
      </c>
      <c r="R21" s="84"/>
      <c r="S21" s="85"/>
      <c r="T21" s="86"/>
      <c r="U21" s="85"/>
    </row>
    <row r="22" spans="1:21">
      <c r="A22" s="234" t="s">
        <v>240</v>
      </c>
      <c r="B22" s="84"/>
      <c r="C22" s="85"/>
      <c r="D22" s="86"/>
      <c r="E22" s="85"/>
      <c r="I22" s="234" t="s">
        <v>240</v>
      </c>
      <c r="J22" s="84"/>
      <c r="K22" s="85"/>
      <c r="L22" s="86"/>
      <c r="M22" s="85"/>
      <c r="Q22" s="234" t="s">
        <v>240</v>
      </c>
      <c r="R22" s="84"/>
      <c r="S22" s="85"/>
      <c r="T22" s="86"/>
      <c r="U22" s="85"/>
    </row>
    <row r="23" spans="1:21">
      <c r="A23" s="234" t="s">
        <v>240</v>
      </c>
      <c r="B23" s="84"/>
      <c r="C23" s="85"/>
      <c r="D23" s="86"/>
      <c r="E23" s="85"/>
      <c r="I23" s="234" t="s">
        <v>240</v>
      </c>
      <c r="J23" s="84"/>
      <c r="K23" s="85"/>
      <c r="L23" s="86"/>
      <c r="M23" s="85"/>
      <c r="Q23" s="234" t="s">
        <v>240</v>
      </c>
      <c r="R23" s="84"/>
      <c r="S23" s="85"/>
      <c r="T23" s="86"/>
      <c r="U23" s="85"/>
    </row>
    <row r="24" spans="1:21">
      <c r="A24" s="85"/>
      <c r="B24" s="84"/>
      <c r="C24" s="85"/>
      <c r="D24" s="86"/>
      <c r="E24" s="85"/>
      <c r="I24" s="85"/>
      <c r="J24" s="84"/>
      <c r="K24" s="85"/>
      <c r="L24" s="86"/>
      <c r="M24" s="85"/>
      <c r="Q24" s="85"/>
      <c r="R24" s="84"/>
      <c r="S24" s="85"/>
      <c r="T24" s="86"/>
      <c r="U24" s="85"/>
    </row>
    <row r="25" spans="1:21">
      <c r="A25" s="85"/>
      <c r="B25" s="84"/>
      <c r="C25" s="85"/>
      <c r="D25" s="86"/>
      <c r="E25" s="85"/>
      <c r="I25" s="85"/>
      <c r="J25" s="84"/>
      <c r="K25" s="85"/>
      <c r="L25" s="86"/>
      <c r="M25" s="85"/>
      <c r="Q25" s="85"/>
      <c r="R25" s="84"/>
      <c r="S25" s="85"/>
      <c r="T25" s="86"/>
      <c r="U25" s="85"/>
    </row>
    <row r="26" spans="1:21">
      <c r="A26" s="65" t="s">
        <v>242</v>
      </c>
      <c r="B26" s="84"/>
      <c r="C26" s="85"/>
      <c r="D26" s="86"/>
      <c r="E26" s="85">
        <f>SUM(E6:E25)</f>
        <v>288</v>
      </c>
      <c r="I26" s="65" t="s">
        <v>242</v>
      </c>
      <c r="J26" s="84"/>
      <c r="K26" s="85"/>
      <c r="L26" s="86"/>
      <c r="M26" s="85">
        <f>SUM(M6:M25)</f>
        <v>342</v>
      </c>
      <c r="Q26" s="65" t="s">
        <v>242</v>
      </c>
      <c r="R26" s="84"/>
      <c r="S26" s="85"/>
      <c r="T26" s="86"/>
      <c r="U26" s="85">
        <f>SUM(U6:U25)</f>
        <v>221</v>
      </c>
    </row>
    <row r="27" spans="1:21">
      <c r="A27" s="65" t="s">
        <v>318</v>
      </c>
      <c r="B27" s="84"/>
      <c r="C27" s="85"/>
      <c r="D27" s="86"/>
      <c r="E27" s="85">
        <v>4</v>
      </c>
      <c r="I27" s="65" t="s">
        <v>318</v>
      </c>
      <c r="J27" s="84"/>
      <c r="K27" s="85"/>
      <c r="L27" s="86"/>
      <c r="M27" s="85">
        <v>6</v>
      </c>
      <c r="Q27" s="65" t="s">
        <v>318</v>
      </c>
      <c r="R27" s="84"/>
      <c r="S27" s="85"/>
      <c r="T27" s="86"/>
      <c r="U27" s="85">
        <v>6</v>
      </c>
    </row>
    <row r="29" spans="1:21" ht="45.75">
      <c r="A29" s="85"/>
      <c r="B29" s="43" t="s">
        <v>215</v>
      </c>
      <c r="C29" s="65" t="s">
        <v>216</v>
      </c>
      <c r="D29" s="233" t="s">
        <v>217</v>
      </c>
      <c r="E29" s="65" t="s">
        <v>218</v>
      </c>
      <c r="I29" s="85"/>
      <c r="J29" s="43" t="s">
        <v>215</v>
      </c>
      <c r="K29" s="65" t="s">
        <v>216</v>
      </c>
      <c r="L29" s="233" t="s">
        <v>217</v>
      </c>
      <c r="M29" s="65" t="s">
        <v>218</v>
      </c>
      <c r="Q29" s="85"/>
      <c r="R29" s="43" t="s">
        <v>215</v>
      </c>
      <c r="S29" s="65" t="s">
        <v>216</v>
      </c>
      <c r="T29" s="233" t="s">
        <v>217</v>
      </c>
      <c r="U29" s="65" t="s">
        <v>218</v>
      </c>
    </row>
    <row r="30" spans="1:21">
      <c r="A30" s="65" t="s">
        <v>296</v>
      </c>
      <c r="B30" s="125"/>
      <c r="C30" s="234"/>
      <c r="D30" s="235"/>
      <c r="E30" s="234"/>
      <c r="I30" s="65" t="s">
        <v>296</v>
      </c>
      <c r="J30" s="125"/>
      <c r="K30" s="234"/>
      <c r="L30" s="235"/>
      <c r="M30" s="234"/>
      <c r="Q30" s="65" t="s">
        <v>296</v>
      </c>
      <c r="R30" s="125"/>
      <c r="S30" s="234"/>
      <c r="T30" s="235"/>
      <c r="U30" s="234"/>
    </row>
    <row r="31" spans="1:21">
      <c r="A31" s="234" t="s">
        <v>220</v>
      </c>
      <c r="B31" s="111" t="s">
        <v>249</v>
      </c>
      <c r="C31" s="234" t="s">
        <v>297</v>
      </c>
      <c r="D31" s="115" t="s">
        <v>78</v>
      </c>
      <c r="E31" s="114">
        <v>21</v>
      </c>
      <c r="I31" s="234" t="s">
        <v>220</v>
      </c>
      <c r="J31" s="111" t="s">
        <v>249</v>
      </c>
      <c r="K31" s="234" t="s">
        <v>297</v>
      </c>
      <c r="L31" s="115" t="s">
        <v>78</v>
      </c>
      <c r="M31" s="114">
        <v>21</v>
      </c>
      <c r="Q31" s="234" t="s">
        <v>220</v>
      </c>
      <c r="R31" s="111" t="s">
        <v>249</v>
      </c>
      <c r="S31" s="234" t="s">
        <v>297</v>
      </c>
      <c r="T31" s="115"/>
      <c r="U31" s="114">
        <v>21</v>
      </c>
    </row>
    <row r="32" spans="1:21">
      <c r="A32" s="234" t="s">
        <v>226</v>
      </c>
      <c r="B32" s="111" t="s">
        <v>124</v>
      </c>
      <c r="C32" s="255" t="s">
        <v>450</v>
      </c>
      <c r="D32" s="117" t="s">
        <v>78</v>
      </c>
      <c r="E32" s="114">
        <v>90</v>
      </c>
      <c r="I32" s="234" t="s">
        <v>226</v>
      </c>
      <c r="J32" s="111" t="s">
        <v>162</v>
      </c>
      <c r="K32" s="255" t="s">
        <v>444</v>
      </c>
      <c r="L32" s="117" t="s">
        <v>78</v>
      </c>
      <c r="M32" s="114">
        <v>100</v>
      </c>
      <c r="Q32" s="234" t="s">
        <v>226</v>
      </c>
      <c r="R32" s="111" t="s">
        <v>249</v>
      </c>
      <c r="S32" s="255" t="s">
        <v>451</v>
      </c>
      <c r="T32" s="117"/>
      <c r="U32" s="114">
        <v>32</v>
      </c>
    </row>
    <row r="33" spans="1:21">
      <c r="A33" s="234" t="s">
        <v>232</v>
      </c>
      <c r="B33" s="111" t="s">
        <v>162</v>
      </c>
      <c r="C33" s="255" t="s">
        <v>452</v>
      </c>
      <c r="D33" s="117" t="s">
        <v>78</v>
      </c>
      <c r="E33" s="114">
        <v>81</v>
      </c>
      <c r="I33" s="234" t="s">
        <v>232</v>
      </c>
      <c r="J33" s="111" t="s">
        <v>124</v>
      </c>
      <c r="K33" s="255" t="s">
        <v>453</v>
      </c>
      <c r="L33" s="117" t="s">
        <v>78</v>
      </c>
      <c r="M33" s="114">
        <v>114</v>
      </c>
      <c r="Q33" s="234" t="s">
        <v>232</v>
      </c>
      <c r="R33" s="111" t="s">
        <v>249</v>
      </c>
      <c r="S33" s="255" t="s">
        <v>454</v>
      </c>
      <c r="T33" s="117"/>
      <c r="U33" s="114">
        <v>65</v>
      </c>
    </row>
    <row r="34" spans="1:21">
      <c r="A34" s="234"/>
      <c r="B34" s="84"/>
      <c r="C34" s="85"/>
      <c r="D34" s="86"/>
      <c r="E34" s="85"/>
      <c r="I34" s="234"/>
      <c r="J34" s="84"/>
      <c r="K34" s="85"/>
      <c r="L34" s="86"/>
      <c r="M34" s="85"/>
      <c r="Q34" s="234"/>
      <c r="R34" s="84"/>
      <c r="S34" s="85"/>
      <c r="T34" s="86"/>
      <c r="U34" s="85"/>
    </row>
    <row r="35" spans="1:21">
      <c r="A35" s="65" t="s">
        <v>234</v>
      </c>
      <c r="B35" s="84"/>
      <c r="C35" s="85"/>
      <c r="D35" s="86"/>
      <c r="E35" s="85"/>
      <c r="I35" s="65" t="s">
        <v>234</v>
      </c>
      <c r="J35" s="84"/>
      <c r="K35" s="85"/>
      <c r="L35" s="86"/>
      <c r="M35" s="85"/>
      <c r="Q35" s="65" t="s">
        <v>234</v>
      </c>
      <c r="R35" s="84"/>
      <c r="S35" s="85"/>
      <c r="T35" s="86"/>
      <c r="U35" s="85"/>
    </row>
    <row r="36" spans="1:21">
      <c r="A36" s="234" t="s">
        <v>303</v>
      </c>
      <c r="B36" s="111" t="s">
        <v>249</v>
      </c>
      <c r="C36" s="255" t="s">
        <v>455</v>
      </c>
      <c r="D36" s="117"/>
      <c r="E36" s="114">
        <v>28</v>
      </c>
      <c r="I36" s="234" t="s">
        <v>303</v>
      </c>
      <c r="J36" s="111"/>
      <c r="K36" s="116"/>
      <c r="L36" s="117"/>
      <c r="M36" s="114"/>
      <c r="Q36" s="234" t="s">
        <v>303</v>
      </c>
      <c r="R36" s="84" t="s">
        <v>162</v>
      </c>
      <c r="S36" s="234" t="s">
        <v>446</v>
      </c>
      <c r="T36" s="86"/>
      <c r="U36" s="85">
        <v>35</v>
      </c>
    </row>
    <row r="37" spans="1:21">
      <c r="A37" s="234" t="s">
        <v>303</v>
      </c>
      <c r="B37" s="111"/>
      <c r="C37" s="116"/>
      <c r="D37" s="117"/>
      <c r="E37" s="114"/>
      <c r="I37" s="234" t="s">
        <v>303</v>
      </c>
      <c r="J37" s="111"/>
      <c r="K37" s="116"/>
      <c r="L37" s="117"/>
      <c r="M37" s="114"/>
      <c r="Q37" s="234" t="s">
        <v>303</v>
      </c>
      <c r="R37" s="84" t="s">
        <v>162</v>
      </c>
      <c r="S37" s="234" t="s">
        <v>446</v>
      </c>
      <c r="T37" s="86"/>
      <c r="U37" s="85">
        <v>35</v>
      </c>
    </row>
    <row r="38" spans="1:21">
      <c r="A38" s="234" t="s">
        <v>305</v>
      </c>
      <c r="B38" s="84"/>
      <c r="C38" s="85"/>
      <c r="D38" s="86"/>
      <c r="E38" s="85"/>
      <c r="I38" s="234" t="s">
        <v>305</v>
      </c>
      <c r="J38" s="84"/>
      <c r="K38" s="85"/>
      <c r="L38" s="86"/>
      <c r="M38" s="85"/>
      <c r="Q38" s="234" t="s">
        <v>305</v>
      </c>
      <c r="R38" s="84"/>
      <c r="S38" s="85"/>
      <c r="T38" s="86"/>
      <c r="U38" s="85"/>
    </row>
    <row r="39" spans="1:21">
      <c r="A39" s="234" t="s">
        <v>306</v>
      </c>
      <c r="B39" s="84"/>
      <c r="C39" s="85"/>
      <c r="D39" s="86"/>
      <c r="E39" s="85"/>
      <c r="I39" s="234" t="s">
        <v>306</v>
      </c>
      <c r="J39" s="84"/>
      <c r="K39" s="85"/>
      <c r="L39" s="86"/>
      <c r="M39" s="85"/>
      <c r="Q39" s="234" t="s">
        <v>306</v>
      </c>
      <c r="R39" s="84"/>
      <c r="S39" s="85"/>
      <c r="T39" s="86"/>
      <c r="U39" s="85"/>
    </row>
    <row r="40" spans="1:21">
      <c r="A40" s="234" t="s">
        <v>309</v>
      </c>
      <c r="B40" s="84"/>
      <c r="C40" s="85"/>
      <c r="D40" s="86"/>
      <c r="E40" s="85"/>
      <c r="I40" s="234" t="s">
        <v>309</v>
      </c>
      <c r="J40" s="84"/>
      <c r="K40" s="85"/>
      <c r="L40" s="86"/>
      <c r="M40" s="85"/>
      <c r="Q40" s="234" t="s">
        <v>309</v>
      </c>
      <c r="R40" s="84"/>
      <c r="S40" s="85"/>
      <c r="T40" s="86"/>
      <c r="U40" s="85"/>
    </row>
    <row r="41" spans="1:21">
      <c r="A41" s="234" t="s">
        <v>309</v>
      </c>
      <c r="B41" s="84"/>
      <c r="C41" s="85"/>
      <c r="D41" s="86"/>
      <c r="E41" s="85"/>
      <c r="I41" s="234" t="s">
        <v>309</v>
      </c>
      <c r="J41" s="84"/>
      <c r="K41" s="85"/>
      <c r="L41" s="86"/>
      <c r="M41" s="85"/>
      <c r="Q41" s="234" t="s">
        <v>309</v>
      </c>
      <c r="R41" s="84"/>
      <c r="S41" s="85"/>
      <c r="T41" s="86"/>
      <c r="U41" s="85"/>
    </row>
    <row r="42" spans="1:21">
      <c r="A42" s="234" t="s">
        <v>310</v>
      </c>
      <c r="B42" s="84"/>
      <c r="C42" s="85"/>
      <c r="D42" s="86"/>
      <c r="E42" s="85"/>
      <c r="I42" s="234" t="s">
        <v>310</v>
      </c>
      <c r="J42" s="84"/>
      <c r="K42" s="85"/>
      <c r="L42" s="86"/>
      <c r="M42" s="85"/>
      <c r="Q42" s="234" t="s">
        <v>310</v>
      </c>
      <c r="R42" s="84"/>
      <c r="S42" s="85"/>
      <c r="T42" s="86"/>
      <c r="U42" s="85"/>
    </row>
    <row r="43" spans="1:21">
      <c r="A43" s="234" t="s">
        <v>235</v>
      </c>
      <c r="B43" s="84"/>
      <c r="C43" s="85"/>
      <c r="D43" s="86"/>
      <c r="E43" s="85"/>
      <c r="I43" s="234" t="s">
        <v>235</v>
      </c>
      <c r="J43" s="84" t="s">
        <v>249</v>
      </c>
      <c r="K43" s="234" t="s">
        <v>448</v>
      </c>
      <c r="L43" s="86" t="s">
        <v>78</v>
      </c>
      <c r="M43" s="85">
        <v>36</v>
      </c>
      <c r="Q43" s="234" t="s">
        <v>235</v>
      </c>
      <c r="R43" s="84"/>
      <c r="S43" s="85"/>
      <c r="T43" s="86"/>
      <c r="U43" s="85"/>
    </row>
    <row r="44" spans="1:21">
      <c r="A44" s="234" t="s">
        <v>240</v>
      </c>
      <c r="B44" s="84"/>
      <c r="C44" s="85"/>
      <c r="D44" s="86"/>
      <c r="E44" s="85"/>
      <c r="I44" s="234" t="s">
        <v>240</v>
      </c>
      <c r="J44" s="84" t="s">
        <v>162</v>
      </c>
      <c r="K44" s="234" t="s">
        <v>449</v>
      </c>
      <c r="L44" s="86" t="s">
        <v>78</v>
      </c>
      <c r="M44" s="85">
        <v>18</v>
      </c>
      <c r="Q44" s="234" t="s">
        <v>240</v>
      </c>
      <c r="R44" s="84"/>
      <c r="S44" s="85"/>
      <c r="T44" s="86"/>
      <c r="U44" s="85"/>
    </row>
    <row r="45" spans="1:21">
      <c r="A45" s="234" t="s">
        <v>240</v>
      </c>
      <c r="B45" s="84"/>
      <c r="C45" s="85"/>
      <c r="D45" s="86"/>
      <c r="E45" s="85"/>
      <c r="I45" s="234" t="s">
        <v>240</v>
      </c>
      <c r="J45" s="84"/>
      <c r="K45" s="85"/>
      <c r="L45" s="86"/>
      <c r="M45" s="85"/>
      <c r="Q45" s="234" t="s">
        <v>240</v>
      </c>
      <c r="R45" s="84"/>
      <c r="S45" s="85"/>
      <c r="T45" s="86"/>
      <c r="U45" s="85"/>
    </row>
    <row r="46" spans="1:21">
      <c r="A46" s="234" t="s">
        <v>240</v>
      </c>
      <c r="B46" s="84"/>
      <c r="C46" s="85"/>
      <c r="D46" s="86"/>
      <c r="E46" s="85"/>
      <c r="I46" s="234" t="s">
        <v>240</v>
      </c>
      <c r="J46" s="84"/>
      <c r="K46" s="85"/>
      <c r="L46" s="86"/>
      <c r="M46" s="85"/>
      <c r="Q46" s="234" t="s">
        <v>240</v>
      </c>
      <c r="R46" s="84"/>
      <c r="S46" s="85"/>
      <c r="T46" s="86"/>
      <c r="U46" s="85"/>
    </row>
    <row r="47" spans="1:21">
      <c r="A47" s="234" t="s">
        <v>240</v>
      </c>
      <c r="B47" s="84"/>
      <c r="C47" s="85"/>
      <c r="D47" s="86"/>
      <c r="E47" s="85"/>
      <c r="I47" s="234" t="s">
        <v>240</v>
      </c>
      <c r="J47" s="84"/>
      <c r="K47" s="85"/>
      <c r="L47" s="86"/>
      <c r="M47" s="85"/>
      <c r="Q47" s="234" t="s">
        <v>240</v>
      </c>
      <c r="R47" s="84"/>
      <c r="S47" s="85"/>
      <c r="T47" s="86"/>
      <c r="U47" s="85"/>
    </row>
    <row r="48" spans="1:21">
      <c r="A48" s="234" t="s">
        <v>240</v>
      </c>
      <c r="B48" s="84"/>
      <c r="C48" s="85"/>
      <c r="D48" s="86"/>
      <c r="E48" s="85"/>
      <c r="I48" s="234" t="s">
        <v>240</v>
      </c>
      <c r="J48" s="84"/>
      <c r="K48" s="85"/>
      <c r="L48" s="86"/>
      <c r="M48" s="85"/>
      <c r="Q48" s="234" t="s">
        <v>240</v>
      </c>
      <c r="R48" s="84"/>
      <c r="S48" s="85"/>
      <c r="T48" s="86"/>
      <c r="U48" s="85"/>
    </row>
    <row r="49" spans="1:21">
      <c r="A49" s="85"/>
      <c r="B49" s="84"/>
      <c r="C49" s="85"/>
      <c r="D49" s="86"/>
      <c r="E49" s="85"/>
      <c r="I49" s="85"/>
      <c r="J49" s="84"/>
      <c r="K49" s="85"/>
      <c r="L49" s="86"/>
      <c r="M49" s="85"/>
      <c r="Q49" s="85"/>
      <c r="R49" s="84"/>
      <c r="S49" s="85"/>
      <c r="T49" s="86"/>
      <c r="U49" s="85"/>
    </row>
    <row r="50" spans="1:21">
      <c r="A50" s="85"/>
      <c r="B50" s="84"/>
      <c r="C50" s="85"/>
      <c r="D50" s="86"/>
      <c r="E50" s="85"/>
      <c r="I50" s="85"/>
      <c r="J50" s="84"/>
      <c r="K50" s="85"/>
      <c r="L50" s="86"/>
      <c r="M50" s="85"/>
      <c r="Q50" s="85"/>
      <c r="R50" s="84"/>
      <c r="S50" s="85"/>
      <c r="T50" s="86"/>
      <c r="U50" s="85"/>
    </row>
    <row r="51" spans="1:21">
      <c r="A51" s="65" t="s">
        <v>242</v>
      </c>
      <c r="B51" s="84"/>
      <c r="C51" s="85"/>
      <c r="D51" s="86"/>
      <c r="E51" s="85">
        <f>SUM(E31:E50)</f>
        <v>220</v>
      </c>
      <c r="I51" s="65" t="s">
        <v>242</v>
      </c>
      <c r="J51" s="84"/>
      <c r="K51" s="85"/>
      <c r="L51" s="86"/>
      <c r="M51" s="85">
        <f>SUM(M31:M50)</f>
        <v>289</v>
      </c>
      <c r="Q51" s="65" t="s">
        <v>242</v>
      </c>
      <c r="R51" s="84"/>
      <c r="S51" s="85"/>
      <c r="T51" s="86"/>
      <c r="U51" s="85">
        <f>SUM(U31:U50)</f>
        <v>188</v>
      </c>
    </row>
    <row r="52" spans="1:21">
      <c r="A52" s="65" t="s">
        <v>318</v>
      </c>
      <c r="B52" s="84"/>
      <c r="C52" s="85"/>
      <c r="D52" s="86"/>
      <c r="E52" s="85">
        <v>4</v>
      </c>
      <c r="I52" s="65" t="s">
        <v>318</v>
      </c>
      <c r="J52" s="84"/>
      <c r="K52" s="85"/>
      <c r="L52" s="86"/>
      <c r="M52" s="85">
        <v>4</v>
      </c>
      <c r="Q52" s="65" t="s">
        <v>318</v>
      </c>
      <c r="R52" s="84"/>
      <c r="S52" s="85"/>
      <c r="T52" s="86"/>
      <c r="U52" s="85">
        <v>4</v>
      </c>
    </row>
    <row r="54" spans="1:21" ht="45.75">
      <c r="A54" s="85"/>
      <c r="B54" s="43" t="s">
        <v>215</v>
      </c>
      <c r="C54" s="65" t="s">
        <v>216</v>
      </c>
      <c r="D54" s="233" t="s">
        <v>217</v>
      </c>
      <c r="E54" s="65" t="s">
        <v>218</v>
      </c>
      <c r="I54" s="85"/>
      <c r="J54" s="43" t="s">
        <v>215</v>
      </c>
      <c r="K54" s="65" t="s">
        <v>216</v>
      </c>
      <c r="L54" s="233" t="s">
        <v>217</v>
      </c>
      <c r="M54" s="65" t="s">
        <v>218</v>
      </c>
      <c r="Q54" s="85"/>
      <c r="R54" s="43" t="s">
        <v>215</v>
      </c>
      <c r="S54" s="65" t="s">
        <v>216</v>
      </c>
      <c r="T54" s="233" t="s">
        <v>217</v>
      </c>
      <c r="U54" s="65" t="s">
        <v>218</v>
      </c>
    </row>
    <row r="55" spans="1:21">
      <c r="A55" s="65" t="s">
        <v>296</v>
      </c>
      <c r="B55" s="125"/>
      <c r="C55" s="234"/>
      <c r="D55" s="235"/>
      <c r="E55" s="234"/>
      <c r="I55" s="65" t="s">
        <v>296</v>
      </c>
      <c r="J55" s="125"/>
      <c r="K55" s="234"/>
      <c r="L55" s="235"/>
      <c r="M55" s="234"/>
      <c r="Q55" s="65" t="s">
        <v>296</v>
      </c>
      <c r="R55" s="125"/>
      <c r="S55" s="234"/>
      <c r="T55" s="235"/>
      <c r="U55" s="234"/>
    </row>
    <row r="56" spans="1:21" ht="76.5">
      <c r="A56" s="237" t="s">
        <v>259</v>
      </c>
      <c r="B56" s="108" t="s">
        <v>145</v>
      </c>
      <c r="C56" s="236" t="s">
        <v>456</v>
      </c>
      <c r="D56" s="115" t="s">
        <v>78</v>
      </c>
      <c r="E56" s="114">
        <v>140</v>
      </c>
      <c r="I56" s="234" t="s">
        <v>220</v>
      </c>
      <c r="J56" s="111" t="s">
        <v>411</v>
      </c>
      <c r="K56" s="254" t="s">
        <v>457</v>
      </c>
      <c r="L56" s="115" t="s">
        <v>78</v>
      </c>
      <c r="M56" s="114">
        <v>21</v>
      </c>
      <c r="Q56" s="234" t="s">
        <v>220</v>
      </c>
      <c r="R56" s="111" t="s">
        <v>411</v>
      </c>
      <c r="S56" s="254" t="s">
        <v>457</v>
      </c>
      <c r="T56" s="115"/>
      <c r="U56" s="114">
        <v>21</v>
      </c>
    </row>
    <row r="57" spans="1:21" ht="60.75">
      <c r="A57" s="237" t="s">
        <v>261</v>
      </c>
      <c r="B57" s="238" t="s">
        <v>145</v>
      </c>
      <c r="C57" s="234" t="s">
        <v>458</v>
      </c>
      <c r="D57" s="117" t="s">
        <v>78</v>
      </c>
      <c r="E57" s="114">
        <v>95</v>
      </c>
      <c r="I57" s="234" t="s">
        <v>321</v>
      </c>
      <c r="J57" s="238" t="s">
        <v>162</v>
      </c>
      <c r="K57" s="234" t="s">
        <v>322</v>
      </c>
      <c r="L57" s="117" t="s">
        <v>78</v>
      </c>
      <c r="M57" s="114">
        <v>70</v>
      </c>
      <c r="Q57" s="234" t="s">
        <v>321</v>
      </c>
      <c r="R57" s="238" t="s">
        <v>162</v>
      </c>
      <c r="S57" s="234" t="s">
        <v>459</v>
      </c>
      <c r="T57" s="117"/>
      <c r="U57" s="114">
        <v>55</v>
      </c>
    </row>
    <row r="58" spans="1:21">
      <c r="A58" s="234"/>
      <c r="B58" s="84"/>
      <c r="C58" s="85"/>
      <c r="D58" s="86"/>
      <c r="E58" s="85"/>
      <c r="I58" s="234"/>
      <c r="J58" s="84"/>
      <c r="K58" s="85"/>
      <c r="L58" s="86"/>
      <c r="M58" s="85"/>
      <c r="Q58" s="234"/>
      <c r="R58" s="84"/>
      <c r="S58" s="85"/>
      <c r="T58" s="86"/>
      <c r="U58" s="85"/>
    </row>
    <row r="59" spans="1:21">
      <c r="A59" s="65" t="s">
        <v>234</v>
      </c>
      <c r="B59" s="84"/>
      <c r="C59" s="85"/>
      <c r="D59" s="86"/>
      <c r="E59" s="85"/>
      <c r="I59" s="65"/>
      <c r="J59" s="84"/>
      <c r="K59" s="85"/>
      <c r="L59" s="86"/>
      <c r="M59" s="85"/>
      <c r="Q59" s="65"/>
      <c r="R59" s="84"/>
      <c r="S59" s="85"/>
      <c r="T59" s="86"/>
      <c r="U59" s="85"/>
    </row>
    <row r="60" spans="1:21" ht="60.75">
      <c r="A60" s="237" t="s">
        <v>261</v>
      </c>
      <c r="B60" s="238" t="s">
        <v>145</v>
      </c>
      <c r="C60" s="234" t="s">
        <v>460</v>
      </c>
      <c r="D60" s="117" t="s">
        <v>78</v>
      </c>
      <c r="E60" s="114">
        <v>85</v>
      </c>
      <c r="I60" s="237"/>
      <c r="J60" s="238" t="s">
        <v>162</v>
      </c>
      <c r="K60" s="234" t="s">
        <v>322</v>
      </c>
      <c r="L60" s="117" t="s">
        <v>78</v>
      </c>
      <c r="M60" s="114">
        <v>70</v>
      </c>
      <c r="Q60" s="237"/>
      <c r="R60" s="238" t="s">
        <v>162</v>
      </c>
      <c r="S60" s="234" t="s">
        <v>459</v>
      </c>
      <c r="T60" s="117"/>
      <c r="U60" s="114">
        <v>55</v>
      </c>
    </row>
    <row r="61" spans="1:21" ht="60.75">
      <c r="A61" s="237" t="s">
        <v>261</v>
      </c>
      <c r="B61" s="84"/>
      <c r="C61" s="85"/>
      <c r="D61" s="86"/>
      <c r="E61" s="85"/>
      <c r="I61" s="237"/>
      <c r="J61" s="238" t="s">
        <v>162</v>
      </c>
      <c r="K61" s="234" t="s">
        <v>461</v>
      </c>
      <c r="L61" s="117" t="s">
        <v>78</v>
      </c>
      <c r="M61" s="114">
        <v>45</v>
      </c>
      <c r="Q61" s="237"/>
      <c r="R61" s="238" t="s">
        <v>162</v>
      </c>
      <c r="S61" s="234" t="s">
        <v>461</v>
      </c>
      <c r="T61" s="117"/>
      <c r="U61" s="114">
        <v>45</v>
      </c>
    </row>
    <row r="62" spans="1:21" ht="60.75">
      <c r="A62" s="237" t="s">
        <v>261</v>
      </c>
      <c r="B62" s="84"/>
      <c r="C62" s="85"/>
      <c r="D62" s="86"/>
      <c r="E62" s="85"/>
      <c r="I62" s="237"/>
      <c r="J62" s="238" t="s">
        <v>162</v>
      </c>
      <c r="K62" s="234" t="s">
        <v>462</v>
      </c>
      <c r="L62" s="117" t="s">
        <v>78</v>
      </c>
      <c r="M62" s="114">
        <v>55</v>
      </c>
      <c r="Q62" s="237"/>
      <c r="R62" s="238"/>
      <c r="S62" s="85"/>
      <c r="T62" s="117"/>
      <c r="U62" s="114"/>
    </row>
    <row r="63" spans="1:21">
      <c r="A63" s="85"/>
      <c r="B63" s="84"/>
      <c r="C63" s="85"/>
      <c r="D63" s="86"/>
      <c r="E63" s="85"/>
      <c r="I63" s="85"/>
      <c r="J63" s="84" t="s">
        <v>249</v>
      </c>
      <c r="K63" s="234" t="s">
        <v>448</v>
      </c>
      <c r="L63" s="86" t="s">
        <v>78</v>
      </c>
      <c r="M63" s="85">
        <v>36</v>
      </c>
      <c r="Q63" s="85"/>
      <c r="R63" s="84"/>
      <c r="S63" s="85"/>
      <c r="T63" s="86"/>
      <c r="U63" s="85"/>
    </row>
    <row r="64" spans="1:21">
      <c r="A64" s="85"/>
      <c r="B64" s="84"/>
      <c r="C64" s="85"/>
      <c r="D64" s="86"/>
      <c r="E64" s="85"/>
      <c r="I64" s="85"/>
      <c r="J64" s="84"/>
      <c r="K64" s="85"/>
      <c r="L64" s="86"/>
      <c r="M64" s="85"/>
      <c r="Q64" s="85"/>
      <c r="R64" s="84"/>
      <c r="S64" s="85"/>
      <c r="T64" s="86"/>
      <c r="U64" s="85"/>
    </row>
    <row r="65" spans="1:21">
      <c r="A65" s="65" t="s">
        <v>242</v>
      </c>
      <c r="B65" s="84"/>
      <c r="C65" s="85"/>
      <c r="D65" s="86"/>
      <c r="E65" s="85">
        <f>SUM(E56:E64)</f>
        <v>320</v>
      </c>
      <c r="I65" s="65" t="s">
        <v>242</v>
      </c>
      <c r="J65" s="84"/>
      <c r="K65" s="85"/>
      <c r="L65" s="86"/>
      <c r="M65" s="85">
        <f>SUM(M56:M64)</f>
        <v>297</v>
      </c>
      <c r="Q65" s="65" t="s">
        <v>242</v>
      </c>
      <c r="R65" s="84"/>
      <c r="S65" s="85"/>
      <c r="T65" s="86"/>
      <c r="U65" s="85">
        <f>SUM(U56:U64)</f>
        <v>176</v>
      </c>
    </row>
    <row r="66" spans="1:21">
      <c r="A66" s="65" t="s">
        <v>318</v>
      </c>
      <c r="B66" s="84"/>
      <c r="C66" s="85"/>
      <c r="D66" s="86"/>
      <c r="E66" s="85">
        <v>3</v>
      </c>
      <c r="I66" s="65" t="s">
        <v>318</v>
      </c>
      <c r="J66" s="84"/>
      <c r="K66" s="85"/>
      <c r="L66" s="86"/>
      <c r="M66" s="85">
        <v>5</v>
      </c>
      <c r="Q66" s="65" t="s">
        <v>318</v>
      </c>
      <c r="R66" s="84"/>
      <c r="S66" s="85"/>
      <c r="T66" s="86"/>
      <c r="U66" s="85">
        <v>5</v>
      </c>
    </row>
    <row r="68" spans="1:21" ht="45.75">
      <c r="A68" s="85"/>
      <c r="B68" s="43" t="s">
        <v>215</v>
      </c>
      <c r="C68" s="65" t="s">
        <v>216</v>
      </c>
      <c r="D68" s="233" t="s">
        <v>217</v>
      </c>
      <c r="E68" s="65" t="s">
        <v>218</v>
      </c>
      <c r="I68" s="85"/>
      <c r="J68" s="43" t="s">
        <v>215</v>
      </c>
      <c r="K68" s="65" t="s">
        <v>216</v>
      </c>
      <c r="L68" s="233" t="s">
        <v>217</v>
      </c>
      <c r="M68" s="65" t="s">
        <v>218</v>
      </c>
      <c r="Q68" s="85"/>
      <c r="R68" s="43" t="s">
        <v>215</v>
      </c>
      <c r="S68" s="65" t="s">
        <v>216</v>
      </c>
      <c r="T68" s="233" t="s">
        <v>217</v>
      </c>
      <c r="U68" s="65" t="s">
        <v>218</v>
      </c>
    </row>
    <row r="69" spans="1:21">
      <c r="A69" s="65" t="s">
        <v>296</v>
      </c>
      <c r="B69" s="125"/>
      <c r="C69" s="234"/>
      <c r="D69" s="235"/>
      <c r="E69" s="234"/>
      <c r="I69" s="65" t="s">
        <v>296</v>
      </c>
      <c r="J69" s="125"/>
      <c r="K69" s="234"/>
      <c r="L69" s="235"/>
      <c r="M69" s="234"/>
      <c r="Q69" s="65" t="s">
        <v>296</v>
      </c>
      <c r="R69" s="125"/>
      <c r="S69" s="234"/>
      <c r="T69" s="235"/>
      <c r="U69" s="234"/>
    </row>
    <row r="70" spans="1:21">
      <c r="A70" s="234" t="s">
        <v>220</v>
      </c>
      <c r="B70" s="111" t="s">
        <v>411</v>
      </c>
      <c r="C70" s="254" t="s">
        <v>457</v>
      </c>
      <c r="D70" s="115" t="s">
        <v>78</v>
      </c>
      <c r="E70" s="114">
        <v>21</v>
      </c>
      <c r="I70" s="234" t="s">
        <v>220</v>
      </c>
      <c r="J70" s="111" t="s">
        <v>411</v>
      </c>
      <c r="K70" s="254" t="s">
        <v>457</v>
      </c>
      <c r="L70" s="115" t="s">
        <v>78</v>
      </c>
      <c r="M70" s="114">
        <v>21</v>
      </c>
      <c r="Q70" s="234" t="s">
        <v>220</v>
      </c>
      <c r="R70" s="111" t="s">
        <v>162</v>
      </c>
      <c r="S70" s="254" t="s">
        <v>463</v>
      </c>
      <c r="T70" s="115"/>
      <c r="U70" s="114">
        <v>150</v>
      </c>
    </row>
    <row r="71" spans="1:21">
      <c r="A71" s="234" t="s">
        <v>250</v>
      </c>
      <c r="B71" s="111" t="s">
        <v>162</v>
      </c>
      <c r="C71" s="236" t="s">
        <v>464</v>
      </c>
      <c r="D71" s="117" t="s">
        <v>78</v>
      </c>
      <c r="E71" s="114">
        <v>65</v>
      </c>
      <c r="I71" s="234" t="s">
        <v>250</v>
      </c>
      <c r="J71" s="111" t="s">
        <v>162</v>
      </c>
      <c r="K71" s="236" t="s">
        <v>465</v>
      </c>
      <c r="L71" s="117" t="s">
        <v>78</v>
      </c>
      <c r="M71" s="114">
        <v>50</v>
      </c>
      <c r="Q71" s="234"/>
      <c r="R71" s="111" t="s">
        <v>162</v>
      </c>
      <c r="S71" s="236" t="s">
        <v>466</v>
      </c>
      <c r="T71" s="117"/>
      <c r="U71" s="114">
        <v>140</v>
      </c>
    </row>
    <row r="72" spans="1:21">
      <c r="A72" s="234"/>
      <c r="B72" s="84"/>
      <c r="C72" s="85"/>
      <c r="D72" s="86"/>
      <c r="E72" s="85"/>
      <c r="I72" s="234"/>
      <c r="J72" s="84"/>
      <c r="K72" s="85"/>
      <c r="L72" s="86"/>
      <c r="M72" s="85"/>
      <c r="Q72" s="234"/>
      <c r="R72" s="84"/>
      <c r="S72" s="85"/>
      <c r="T72" s="86"/>
      <c r="U72" s="85"/>
    </row>
    <row r="73" spans="1:21">
      <c r="A73" s="65" t="s">
        <v>234</v>
      </c>
      <c r="B73" s="84"/>
      <c r="C73" s="85"/>
      <c r="D73" s="86"/>
      <c r="E73" s="85"/>
      <c r="I73" s="65" t="s">
        <v>234</v>
      </c>
      <c r="J73" s="84"/>
      <c r="K73" s="85"/>
      <c r="L73" s="86"/>
      <c r="M73" s="85"/>
      <c r="Q73" s="65"/>
      <c r="R73" s="84"/>
      <c r="S73" s="85"/>
      <c r="T73" s="86"/>
      <c r="U73" s="85"/>
    </row>
    <row r="74" spans="1:21">
      <c r="A74" s="234" t="s">
        <v>250</v>
      </c>
      <c r="B74" s="111" t="s">
        <v>162</v>
      </c>
      <c r="C74" s="236" t="s">
        <v>464</v>
      </c>
      <c r="D74" s="117" t="s">
        <v>78</v>
      </c>
      <c r="E74" s="114">
        <v>65</v>
      </c>
      <c r="I74" s="234" t="s">
        <v>250</v>
      </c>
      <c r="J74" s="111" t="s">
        <v>162</v>
      </c>
      <c r="K74" s="236" t="s">
        <v>465</v>
      </c>
      <c r="L74" s="117" t="s">
        <v>78</v>
      </c>
      <c r="M74" s="114">
        <v>50</v>
      </c>
      <c r="Q74" s="234"/>
      <c r="R74" s="111"/>
      <c r="S74" s="236" t="s">
        <v>467</v>
      </c>
      <c r="T74" s="117"/>
      <c r="U74" s="114">
        <v>75</v>
      </c>
    </row>
    <row r="75" spans="1:21">
      <c r="A75" s="234" t="s">
        <v>250</v>
      </c>
      <c r="B75" s="111" t="s">
        <v>162</v>
      </c>
      <c r="C75" s="236" t="s">
        <v>464</v>
      </c>
      <c r="D75" s="117" t="s">
        <v>78</v>
      </c>
      <c r="E75" s="114">
        <v>65</v>
      </c>
      <c r="I75" s="234" t="s">
        <v>250</v>
      </c>
      <c r="J75" s="111" t="s">
        <v>162</v>
      </c>
      <c r="K75" s="236" t="s">
        <v>465</v>
      </c>
      <c r="L75" s="117" t="s">
        <v>78</v>
      </c>
      <c r="M75" s="114">
        <v>50</v>
      </c>
      <c r="Q75" s="234"/>
      <c r="R75" s="111"/>
      <c r="S75" s="236" t="s">
        <v>467</v>
      </c>
      <c r="T75" s="117"/>
      <c r="U75" s="114">
        <v>75</v>
      </c>
    </row>
    <row r="76" spans="1:21">
      <c r="A76" s="234" t="s">
        <v>250</v>
      </c>
      <c r="B76" s="111" t="s">
        <v>162</v>
      </c>
      <c r="C76" s="236" t="s">
        <v>468</v>
      </c>
      <c r="D76" s="117" t="s">
        <v>78</v>
      </c>
      <c r="E76" s="114">
        <v>55</v>
      </c>
      <c r="I76" s="234" t="s">
        <v>250</v>
      </c>
      <c r="J76" s="111"/>
      <c r="K76" s="236"/>
      <c r="L76" s="117"/>
      <c r="M76" s="114"/>
      <c r="Q76" s="234"/>
      <c r="R76" s="111"/>
      <c r="S76" s="236" t="s">
        <v>467</v>
      </c>
      <c r="T76" s="117"/>
      <c r="U76" s="114">
        <v>75</v>
      </c>
    </row>
    <row r="77" spans="1:21">
      <c r="A77" s="234" t="s">
        <v>271</v>
      </c>
      <c r="B77" s="84"/>
      <c r="C77" s="85"/>
      <c r="D77" s="86"/>
      <c r="E77" s="85"/>
      <c r="I77" s="234" t="s">
        <v>271</v>
      </c>
      <c r="J77" s="84"/>
      <c r="K77" s="85"/>
      <c r="L77" s="86"/>
      <c r="M77" s="85"/>
      <c r="Q77" s="234"/>
      <c r="R77" s="84"/>
      <c r="S77" s="85"/>
      <c r="T77" s="86"/>
      <c r="U77" s="85"/>
    </row>
    <row r="78" spans="1:21">
      <c r="A78" s="234" t="s">
        <v>271</v>
      </c>
      <c r="B78" s="84"/>
      <c r="C78" s="85"/>
      <c r="D78" s="86"/>
      <c r="E78" s="85"/>
      <c r="I78" s="234" t="s">
        <v>271</v>
      </c>
      <c r="J78" s="84"/>
      <c r="K78" s="85"/>
      <c r="L78" s="86"/>
      <c r="M78" s="85"/>
      <c r="Q78" s="234"/>
      <c r="R78" s="84"/>
      <c r="S78" s="85"/>
      <c r="T78" s="86"/>
      <c r="U78" s="85"/>
    </row>
    <row r="79" spans="1:21">
      <c r="A79" s="234" t="s">
        <v>271</v>
      </c>
      <c r="B79" s="84"/>
      <c r="C79" s="85"/>
      <c r="D79" s="86"/>
      <c r="E79" s="85"/>
      <c r="I79" s="234" t="s">
        <v>271</v>
      </c>
      <c r="J79" s="84"/>
      <c r="K79" s="85"/>
      <c r="L79" s="86"/>
      <c r="M79" s="85"/>
      <c r="Q79" s="234"/>
      <c r="R79" s="84"/>
      <c r="S79" s="85"/>
      <c r="T79" s="86"/>
      <c r="U79" s="85"/>
    </row>
    <row r="80" spans="1:21">
      <c r="A80" s="234" t="s">
        <v>271</v>
      </c>
      <c r="B80" s="84"/>
      <c r="C80" s="85"/>
      <c r="D80" s="86"/>
      <c r="E80" s="85"/>
      <c r="I80" s="234" t="s">
        <v>271</v>
      </c>
      <c r="J80" s="84"/>
      <c r="K80" s="85"/>
      <c r="L80" s="86"/>
      <c r="M80" s="85"/>
      <c r="Q80" s="234"/>
      <c r="R80" s="84"/>
      <c r="S80" s="85"/>
      <c r="T80" s="86"/>
      <c r="U80" s="85"/>
    </row>
    <row r="81" spans="1:21">
      <c r="A81" s="85"/>
      <c r="B81" s="84"/>
      <c r="C81" s="85"/>
      <c r="D81" s="86"/>
      <c r="E81" s="85"/>
      <c r="I81" s="85"/>
      <c r="J81" s="84"/>
      <c r="K81" s="85"/>
      <c r="L81" s="86"/>
      <c r="M81" s="85"/>
      <c r="Q81" s="85"/>
      <c r="R81" s="84"/>
      <c r="S81" s="85"/>
      <c r="T81" s="86"/>
      <c r="U81" s="85"/>
    </row>
    <row r="82" spans="1:21">
      <c r="A82" s="85"/>
      <c r="B82" s="84"/>
      <c r="C82" s="85"/>
      <c r="D82" s="86"/>
      <c r="E82" s="85"/>
      <c r="I82" s="85"/>
      <c r="J82" s="84"/>
      <c r="K82" s="85"/>
      <c r="L82" s="86"/>
      <c r="M82" s="85"/>
      <c r="Q82" s="85"/>
      <c r="R82" s="84"/>
      <c r="S82" s="85"/>
      <c r="T82" s="86"/>
      <c r="U82" s="85"/>
    </row>
    <row r="83" spans="1:21">
      <c r="A83" s="65" t="s">
        <v>242</v>
      </c>
      <c r="B83" s="84"/>
      <c r="C83" s="85"/>
      <c r="D83" s="86"/>
      <c r="E83" s="85">
        <f>SUM(E70:E82)</f>
        <v>271</v>
      </c>
      <c r="I83" s="65" t="s">
        <v>242</v>
      </c>
      <c r="J83" s="84"/>
      <c r="K83" s="85"/>
      <c r="L83" s="86"/>
      <c r="M83" s="85">
        <f>SUM(M70:M82)</f>
        <v>171</v>
      </c>
      <c r="Q83" s="65" t="s">
        <v>242</v>
      </c>
      <c r="R83" s="84"/>
      <c r="S83" s="85"/>
      <c r="T83" s="86"/>
      <c r="U83" s="85">
        <f>SUM(U70:U82)</f>
        <v>515</v>
      </c>
    </row>
    <row r="84" spans="1:21">
      <c r="A84" s="65" t="s">
        <v>318</v>
      </c>
      <c r="B84" s="84"/>
      <c r="C84" s="85"/>
      <c r="D84" s="86"/>
      <c r="E84" s="85">
        <v>5</v>
      </c>
      <c r="I84" s="65" t="s">
        <v>318</v>
      </c>
      <c r="J84" s="84"/>
      <c r="K84" s="85"/>
      <c r="L84" s="86"/>
      <c r="M84" s="85">
        <v>4</v>
      </c>
      <c r="Q84" s="65" t="s">
        <v>318</v>
      </c>
      <c r="R84" s="84"/>
      <c r="S84" s="85"/>
      <c r="T84" s="86"/>
      <c r="U84" s="85">
        <v>5</v>
      </c>
    </row>
    <row r="86" spans="1:21" ht="76.5">
      <c r="A86" s="239"/>
      <c r="B86" s="85"/>
      <c r="C86" s="240" t="s">
        <v>336</v>
      </c>
      <c r="D86" s="108"/>
      <c r="I86" s="239"/>
      <c r="J86" s="85"/>
      <c r="K86" s="240" t="s">
        <v>336</v>
      </c>
      <c r="L86" s="108"/>
      <c r="Q86" s="239"/>
      <c r="R86" s="85"/>
      <c r="S86" s="240" t="s">
        <v>336</v>
      </c>
      <c r="T86" s="108"/>
    </row>
    <row r="87" spans="1:21">
      <c r="A87" s="65" t="s">
        <v>275</v>
      </c>
      <c r="B87" s="111" t="s">
        <v>52</v>
      </c>
      <c r="C87" s="85"/>
      <c r="D87" s="108"/>
      <c r="I87" s="65" t="s">
        <v>275</v>
      </c>
      <c r="J87" s="111" t="s">
        <v>52</v>
      </c>
      <c r="K87" s="85"/>
      <c r="L87" s="108"/>
      <c r="Q87" s="65" t="s">
        <v>275</v>
      </c>
      <c r="R87" s="111" t="s">
        <v>52</v>
      </c>
      <c r="S87" s="85"/>
      <c r="T87" s="108"/>
    </row>
    <row r="88" spans="1:21">
      <c r="A88" s="65" t="s">
        <v>277</v>
      </c>
      <c r="B88" s="111"/>
      <c r="C88" s="85"/>
      <c r="D88" s="108"/>
      <c r="I88" s="65" t="s">
        <v>277</v>
      </c>
      <c r="J88" s="111"/>
      <c r="K88" s="85"/>
      <c r="L88" s="108"/>
      <c r="Q88" s="65" t="s">
        <v>277</v>
      </c>
      <c r="R88" s="111"/>
      <c r="S88" s="85"/>
      <c r="T88" s="108"/>
    </row>
    <row r="89" spans="1:21">
      <c r="A89" s="65" t="s">
        <v>278</v>
      </c>
      <c r="B89" s="111"/>
      <c r="C89" s="85"/>
      <c r="D89" s="108"/>
      <c r="I89" s="65" t="s">
        <v>278</v>
      </c>
      <c r="J89" s="111"/>
      <c r="K89" s="85"/>
      <c r="L89" s="108"/>
      <c r="Q89" s="65" t="s">
        <v>278</v>
      </c>
      <c r="R89" s="111"/>
      <c r="S89" s="85"/>
      <c r="T89" s="108"/>
    </row>
    <row r="90" spans="1:21">
      <c r="A90" s="65" t="s">
        <v>282</v>
      </c>
      <c r="B90" s="111" t="s">
        <v>34</v>
      </c>
      <c r="C90" s="85"/>
      <c r="D90" s="108"/>
      <c r="I90" s="65" t="s">
        <v>282</v>
      </c>
      <c r="J90" s="111" t="s">
        <v>34</v>
      </c>
      <c r="K90" s="85"/>
      <c r="L90" s="108"/>
      <c r="Q90" s="65" t="s">
        <v>282</v>
      </c>
      <c r="R90" s="111" t="s">
        <v>34</v>
      </c>
      <c r="S90" s="85"/>
      <c r="T90" s="108"/>
    </row>
    <row r="91" spans="1:21">
      <c r="A91" s="65"/>
      <c r="B91" s="84"/>
      <c r="C91" s="85"/>
      <c r="D91" s="108"/>
      <c r="I91" s="65"/>
      <c r="J91" s="84"/>
      <c r="K91" s="85"/>
      <c r="L91" s="108"/>
      <c r="Q91" s="65"/>
      <c r="R91" s="84"/>
      <c r="S91" s="85"/>
      <c r="T91" s="108"/>
    </row>
    <row r="92" spans="1:21">
      <c r="A92" s="241" t="s">
        <v>284</v>
      </c>
      <c r="B92" s="241"/>
      <c r="C92" s="241"/>
      <c r="D92" s="108"/>
      <c r="I92" s="241" t="s">
        <v>284</v>
      </c>
      <c r="J92" s="241"/>
      <c r="K92" s="241"/>
      <c r="L92" s="108"/>
      <c r="Q92" s="241" t="s">
        <v>284</v>
      </c>
      <c r="R92" s="241"/>
      <c r="S92" s="241"/>
      <c r="T92" s="108"/>
    </row>
    <row r="93" spans="1:21">
      <c r="A93" s="241"/>
      <c r="B93" s="241" t="s">
        <v>339</v>
      </c>
      <c r="C93" s="241" t="s">
        <v>15</v>
      </c>
      <c r="D93" s="241" t="s">
        <v>5</v>
      </c>
      <c r="I93" s="241"/>
      <c r="J93" s="241" t="s">
        <v>339</v>
      </c>
      <c r="K93" s="241" t="s">
        <v>15</v>
      </c>
      <c r="L93" s="241" t="s">
        <v>5</v>
      </c>
      <c r="Q93" s="241"/>
      <c r="R93" s="241" t="s">
        <v>339</v>
      </c>
      <c r="S93" s="241" t="s">
        <v>15</v>
      </c>
      <c r="T93" s="241" t="s">
        <v>5</v>
      </c>
    </row>
    <row r="94" spans="1:21">
      <c r="A94" s="242" t="s">
        <v>286</v>
      </c>
      <c r="B94" s="242">
        <f>E26</f>
        <v>288</v>
      </c>
      <c r="C94" s="242">
        <v>4</v>
      </c>
      <c r="D94" s="242"/>
      <c r="I94" s="242" t="s">
        <v>286</v>
      </c>
      <c r="J94" s="242">
        <f>M26</f>
        <v>342</v>
      </c>
      <c r="K94" s="242">
        <v>6</v>
      </c>
      <c r="L94" s="242"/>
      <c r="Q94" s="242" t="s">
        <v>286</v>
      </c>
      <c r="R94" s="242">
        <f>U26</f>
        <v>221</v>
      </c>
      <c r="S94" s="242">
        <v>6</v>
      </c>
      <c r="T94" s="242"/>
    </row>
    <row r="95" spans="1:21">
      <c r="A95" s="242" t="s">
        <v>287</v>
      </c>
      <c r="B95" s="242">
        <f>E51</f>
        <v>220</v>
      </c>
      <c r="C95" s="242">
        <v>5</v>
      </c>
      <c r="D95" s="242"/>
      <c r="I95" s="242" t="s">
        <v>287</v>
      </c>
      <c r="J95" s="242">
        <f>M51</f>
        <v>289</v>
      </c>
      <c r="K95" s="242">
        <v>4</v>
      </c>
      <c r="L95" s="242"/>
      <c r="Q95" s="242" t="s">
        <v>287</v>
      </c>
      <c r="R95" s="242">
        <f>U51</f>
        <v>188</v>
      </c>
      <c r="S95" s="242">
        <v>5</v>
      </c>
      <c r="T95" s="242"/>
    </row>
    <row r="96" spans="1:21">
      <c r="A96" s="242" t="s">
        <v>288</v>
      </c>
      <c r="B96" s="242">
        <f>E83</f>
        <v>271</v>
      </c>
      <c r="C96" s="242">
        <v>5</v>
      </c>
      <c r="D96" s="242"/>
      <c r="I96" s="242" t="s">
        <v>288</v>
      </c>
      <c r="J96" s="242">
        <f>M83</f>
        <v>171</v>
      </c>
      <c r="K96" s="242">
        <v>4</v>
      </c>
      <c r="L96" s="242"/>
      <c r="Q96" s="242" t="s">
        <v>469</v>
      </c>
      <c r="R96" s="242">
        <f>U83</f>
        <v>515</v>
      </c>
      <c r="S96" s="242">
        <v>5</v>
      </c>
      <c r="T96" s="242"/>
    </row>
    <row r="97" spans="1:20">
      <c r="A97" s="242" t="s">
        <v>290</v>
      </c>
      <c r="B97" s="242">
        <f>E65</f>
        <v>320</v>
      </c>
      <c r="C97" s="242">
        <v>3</v>
      </c>
      <c r="D97" s="242"/>
      <c r="I97" s="242" t="s">
        <v>340</v>
      </c>
      <c r="J97" s="242">
        <f>M65</f>
        <v>297</v>
      </c>
      <c r="K97" s="242">
        <v>5</v>
      </c>
      <c r="L97" s="242"/>
      <c r="Q97" s="242" t="s">
        <v>340</v>
      </c>
      <c r="R97" s="242">
        <f>U65</f>
        <v>176</v>
      </c>
      <c r="S97" s="242">
        <v>3</v>
      </c>
      <c r="T97" s="242"/>
    </row>
    <row r="98" spans="1:20">
      <c r="A98" s="242"/>
      <c r="B98" s="241">
        <f>SUM(B94:B97)</f>
        <v>1099</v>
      </c>
      <c r="C98" s="241">
        <f>SUM(C94:C97)</f>
        <v>17</v>
      </c>
      <c r="D98" s="242"/>
      <c r="I98" s="242"/>
      <c r="J98" s="241">
        <f>SUM(J94:J97)</f>
        <v>1099</v>
      </c>
      <c r="K98" s="241">
        <f>SUM(K94:K97)</f>
        <v>19</v>
      </c>
      <c r="L98" s="242"/>
      <c r="Q98" s="242"/>
      <c r="R98" s="241">
        <f>SUM(R94:R97)</f>
        <v>1100</v>
      </c>
      <c r="S98" s="241">
        <f>SUM(S94:S97)</f>
        <v>19</v>
      </c>
      <c r="T98" s="24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FC9F-BF2C-4A3D-8305-13EA30B0A003}">
  <dimension ref="A1:V106"/>
  <sheetViews>
    <sheetView topLeftCell="A82" workbookViewId="0">
      <selection activeCell="A19" sqref="A19"/>
    </sheetView>
  </sheetViews>
  <sheetFormatPr defaultRowHeight="15"/>
  <cols>
    <col min="1" max="1" width="37.7109375" bestFit="1" customWidth="1"/>
    <col min="2" max="2" width="9.5703125" customWidth="1"/>
    <col min="3" max="3" width="31.7109375" bestFit="1" customWidth="1"/>
    <col min="5" max="5" width="10.85546875" bestFit="1" customWidth="1"/>
    <col min="9" max="9" width="31.85546875" bestFit="1" customWidth="1"/>
    <col min="11" max="11" width="31.7109375" bestFit="1" customWidth="1"/>
    <col min="17" max="17" width="26.5703125" bestFit="1" customWidth="1"/>
    <col min="19" max="19" width="31.7109375" bestFit="1" customWidth="1"/>
  </cols>
  <sheetData>
    <row r="1" spans="1:22">
      <c r="C1" t="s">
        <v>37</v>
      </c>
      <c r="K1" t="s">
        <v>37</v>
      </c>
      <c r="S1" t="s">
        <v>37</v>
      </c>
    </row>
    <row r="2" spans="1:22">
      <c r="A2" t="s">
        <v>34</v>
      </c>
      <c r="B2" t="s">
        <v>32</v>
      </c>
      <c r="C2" t="s">
        <v>470</v>
      </c>
      <c r="I2" t="s">
        <v>31</v>
      </c>
      <c r="J2" t="s">
        <v>32</v>
      </c>
      <c r="K2" t="s">
        <v>471</v>
      </c>
      <c r="Q2" s="247" t="s">
        <v>32</v>
      </c>
      <c r="R2" t="s">
        <v>32</v>
      </c>
      <c r="S2" t="s">
        <v>472</v>
      </c>
    </row>
    <row r="3" spans="1:22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2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67" t="s">
        <v>219</v>
      </c>
      <c r="R4" s="68"/>
      <c r="S4" s="69"/>
      <c r="T4" s="70"/>
      <c r="U4" s="71"/>
    </row>
    <row r="5" spans="1:22">
      <c r="A5" s="72" t="s">
        <v>220</v>
      </c>
      <c r="B5" s="73" t="s">
        <v>100</v>
      </c>
      <c r="C5" s="256" t="s">
        <v>365</v>
      </c>
      <c r="D5" s="75" t="s">
        <v>78</v>
      </c>
      <c r="E5" s="76">
        <v>6</v>
      </c>
      <c r="I5" s="72" t="s">
        <v>220</v>
      </c>
      <c r="J5" s="73" t="s">
        <v>145</v>
      </c>
      <c r="K5" s="256" t="s">
        <v>473</v>
      </c>
      <c r="L5" s="75" t="s">
        <v>127</v>
      </c>
      <c r="M5" s="76">
        <v>15</v>
      </c>
      <c r="Q5" s="72" t="s">
        <v>220</v>
      </c>
      <c r="R5" s="73" t="s">
        <v>100</v>
      </c>
      <c r="S5" s="74"/>
      <c r="T5" s="75" t="s">
        <v>142</v>
      </c>
      <c r="U5" s="76">
        <v>6</v>
      </c>
      <c r="V5" t="s">
        <v>474</v>
      </c>
    </row>
    <row r="6" spans="1:22">
      <c r="A6" s="72" t="s">
        <v>226</v>
      </c>
      <c r="B6" s="73" t="s">
        <v>145</v>
      </c>
      <c r="C6" s="257" t="s">
        <v>475</v>
      </c>
      <c r="D6" s="78" t="s">
        <v>78</v>
      </c>
      <c r="E6" s="76">
        <v>90</v>
      </c>
      <c r="I6" s="72" t="s">
        <v>226</v>
      </c>
      <c r="J6" s="73" t="s">
        <v>145</v>
      </c>
      <c r="K6" s="257" t="s">
        <v>476</v>
      </c>
      <c r="L6" s="78" t="s">
        <v>127</v>
      </c>
      <c r="M6" s="76">
        <v>85</v>
      </c>
      <c r="Q6" s="72" t="s">
        <v>226</v>
      </c>
      <c r="R6" s="73" t="s">
        <v>145</v>
      </c>
      <c r="S6" s="257" t="s">
        <v>477</v>
      </c>
      <c r="T6" s="78" t="s">
        <v>142</v>
      </c>
      <c r="U6" s="76">
        <v>60</v>
      </c>
    </row>
    <row r="7" spans="1:22">
      <c r="A7" s="72" t="s">
        <v>232</v>
      </c>
      <c r="B7" s="73" t="s">
        <v>145</v>
      </c>
      <c r="C7" s="257" t="s">
        <v>477</v>
      </c>
      <c r="D7" s="78" t="s">
        <v>78</v>
      </c>
      <c r="E7" s="76">
        <v>60</v>
      </c>
      <c r="I7" s="72" t="s">
        <v>232</v>
      </c>
      <c r="J7" s="73" t="s">
        <v>145</v>
      </c>
      <c r="K7" s="257" t="s">
        <v>476</v>
      </c>
      <c r="L7" s="78" t="s">
        <v>127</v>
      </c>
      <c r="M7" s="76">
        <v>85</v>
      </c>
      <c r="Q7" s="72" t="s">
        <v>232</v>
      </c>
      <c r="R7" s="73" t="s">
        <v>145</v>
      </c>
      <c r="S7" s="329" t="s">
        <v>477</v>
      </c>
      <c r="T7" s="78" t="s">
        <v>142</v>
      </c>
      <c r="U7" s="76">
        <v>60</v>
      </c>
    </row>
    <row r="8" spans="1:22">
      <c r="A8" s="79"/>
      <c r="B8" s="80"/>
      <c r="C8" s="81"/>
      <c r="D8" s="82"/>
      <c r="E8" s="83"/>
      <c r="I8" s="79"/>
      <c r="J8" s="80"/>
      <c r="K8" s="81"/>
      <c r="L8" s="82"/>
      <c r="M8" s="83"/>
      <c r="Q8" s="79"/>
      <c r="R8" s="80"/>
      <c r="S8" s="81"/>
      <c r="T8" s="82"/>
      <c r="U8" s="83"/>
    </row>
    <row r="9" spans="1:22">
      <c r="A9" s="67" t="s">
        <v>234</v>
      </c>
      <c r="B9" s="80"/>
      <c r="C9" s="69"/>
      <c r="D9" s="82"/>
      <c r="E9" s="83"/>
      <c r="I9" s="67" t="s">
        <v>234</v>
      </c>
      <c r="J9" s="80"/>
      <c r="K9" s="81"/>
      <c r="L9" s="82"/>
      <c r="M9" s="83"/>
      <c r="Q9" s="67" t="s">
        <v>234</v>
      </c>
      <c r="R9" s="80"/>
      <c r="S9" s="81"/>
      <c r="T9" s="82"/>
      <c r="U9" s="83"/>
    </row>
    <row r="10" spans="1:22">
      <c r="A10" s="72" t="s">
        <v>303</v>
      </c>
      <c r="B10" s="84" t="s">
        <v>162</v>
      </c>
      <c r="C10" s="234" t="s">
        <v>477</v>
      </c>
      <c r="D10" s="86" t="s">
        <v>78</v>
      </c>
      <c r="E10" s="87">
        <v>60</v>
      </c>
      <c r="I10" s="72" t="s">
        <v>303</v>
      </c>
      <c r="J10" s="84" t="s">
        <v>145</v>
      </c>
      <c r="K10" s="234" t="s">
        <v>478</v>
      </c>
      <c r="L10" s="86" t="s">
        <v>479</v>
      </c>
      <c r="M10" s="87">
        <v>74</v>
      </c>
      <c r="Q10" s="72" t="s">
        <v>303</v>
      </c>
      <c r="R10" s="84" t="s">
        <v>145</v>
      </c>
      <c r="S10" s="330" t="s">
        <v>477</v>
      </c>
      <c r="T10" s="86" t="s">
        <v>142</v>
      </c>
      <c r="U10" s="87">
        <v>60</v>
      </c>
    </row>
    <row r="11" spans="1:22">
      <c r="A11" s="72" t="s">
        <v>303</v>
      </c>
      <c r="B11" s="84" t="s">
        <v>162</v>
      </c>
      <c r="C11" s="234" t="s">
        <v>477</v>
      </c>
      <c r="D11" s="86" t="s">
        <v>78</v>
      </c>
      <c r="E11" s="87">
        <v>60</v>
      </c>
      <c r="I11" s="72" t="s">
        <v>303</v>
      </c>
      <c r="J11" s="84" t="s">
        <v>145</v>
      </c>
      <c r="K11" s="234" t="s">
        <v>480</v>
      </c>
      <c r="L11" s="86" t="s">
        <v>479</v>
      </c>
      <c r="M11" s="87">
        <v>70</v>
      </c>
      <c r="Q11" s="72" t="s">
        <v>303</v>
      </c>
      <c r="R11" s="84" t="s">
        <v>145</v>
      </c>
      <c r="S11" s="330" t="s">
        <v>477</v>
      </c>
      <c r="T11" s="86" t="s">
        <v>142</v>
      </c>
      <c r="U11" s="87">
        <v>60</v>
      </c>
    </row>
    <row r="12" spans="1:22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72" t="s">
        <v>306</v>
      </c>
      <c r="R12" s="84" t="s">
        <v>145</v>
      </c>
      <c r="S12" s="234" t="s">
        <v>481</v>
      </c>
      <c r="T12" s="86" t="s">
        <v>142</v>
      </c>
      <c r="U12" s="87">
        <v>97</v>
      </c>
    </row>
    <row r="13" spans="1:22">
      <c r="A13" s="72" t="s">
        <v>306</v>
      </c>
      <c r="B13" s="84"/>
      <c r="C13" s="85"/>
      <c r="D13" s="86"/>
      <c r="E13" s="87"/>
      <c r="I13" s="72" t="s">
        <v>306</v>
      </c>
      <c r="J13" s="84" t="s">
        <v>145</v>
      </c>
      <c r="K13" s="234" t="s">
        <v>482</v>
      </c>
      <c r="L13" s="86" t="s">
        <v>479</v>
      </c>
      <c r="M13" s="87">
        <v>75</v>
      </c>
      <c r="Q13" s="72" t="s">
        <v>240</v>
      </c>
      <c r="R13" s="84" t="s">
        <v>100</v>
      </c>
      <c r="S13" s="234" t="s">
        <v>483</v>
      </c>
      <c r="T13" s="86" t="s">
        <v>142</v>
      </c>
      <c r="U13" s="87">
        <v>16</v>
      </c>
    </row>
    <row r="14" spans="1:22">
      <c r="A14" s="72" t="s">
        <v>309</v>
      </c>
      <c r="B14" s="84"/>
      <c r="C14" s="85"/>
      <c r="D14" s="86"/>
      <c r="E14" s="87"/>
      <c r="I14" s="72" t="s">
        <v>309</v>
      </c>
      <c r="J14" s="84" t="s">
        <v>100</v>
      </c>
      <c r="K14" s="234" t="s">
        <v>13</v>
      </c>
      <c r="L14" s="86" t="s">
        <v>479</v>
      </c>
      <c r="M14" s="87">
        <v>21</v>
      </c>
      <c r="Q14" s="42"/>
      <c r="R14" s="80"/>
      <c r="S14" s="81"/>
      <c r="T14" s="82"/>
      <c r="U14" s="83"/>
    </row>
    <row r="15" spans="1:22">
      <c r="A15" s="72" t="s">
        <v>309</v>
      </c>
      <c r="B15" s="84"/>
      <c r="C15" s="85"/>
      <c r="D15" s="86"/>
      <c r="E15" s="87"/>
      <c r="I15" s="72" t="s">
        <v>309</v>
      </c>
      <c r="J15" s="84" t="s">
        <v>100</v>
      </c>
      <c r="K15" s="234" t="s">
        <v>13</v>
      </c>
      <c r="L15" s="86" t="s">
        <v>479</v>
      </c>
      <c r="M15" s="87">
        <v>21</v>
      </c>
      <c r="Q15" s="42"/>
      <c r="R15" s="80"/>
      <c r="S15" s="81"/>
      <c r="T15" s="82"/>
      <c r="U15" s="83"/>
    </row>
    <row r="16" spans="1:22">
      <c r="A16" s="72" t="s">
        <v>310</v>
      </c>
      <c r="B16" s="84"/>
      <c r="C16" s="85"/>
      <c r="D16" s="86"/>
      <c r="E16" s="87"/>
      <c r="I16" s="72" t="s">
        <v>310</v>
      </c>
      <c r="J16" s="84"/>
      <c r="K16" s="85"/>
      <c r="L16" s="86"/>
      <c r="M16" s="87"/>
      <c r="Q16" s="67" t="s">
        <v>242</v>
      </c>
      <c r="R16" s="84"/>
      <c r="S16" s="85"/>
      <c r="T16" s="86"/>
      <c r="U16" s="87">
        <f>SUM(U4:U13)</f>
        <v>359</v>
      </c>
    </row>
    <row r="17" spans="1:22">
      <c r="A17" s="72" t="s">
        <v>235</v>
      </c>
      <c r="B17" s="84"/>
      <c r="C17" s="85"/>
      <c r="D17" s="86"/>
      <c r="E17" s="87"/>
      <c r="I17" s="72" t="s">
        <v>235</v>
      </c>
      <c r="J17" s="84" t="s">
        <v>145</v>
      </c>
      <c r="K17" s="234" t="s">
        <v>484</v>
      </c>
      <c r="L17" s="86" t="s">
        <v>479</v>
      </c>
      <c r="M17" s="87">
        <v>25</v>
      </c>
      <c r="Q17" s="67" t="s">
        <v>243</v>
      </c>
      <c r="R17" s="84"/>
      <c r="S17" s="85"/>
      <c r="T17" s="86"/>
      <c r="U17" s="87">
        <v>7</v>
      </c>
    </row>
    <row r="18" spans="1:22">
      <c r="A18" s="72" t="s">
        <v>240</v>
      </c>
      <c r="B18" s="84" t="s">
        <v>162</v>
      </c>
      <c r="C18" s="234" t="s">
        <v>485</v>
      </c>
      <c r="D18" s="86" t="s">
        <v>78</v>
      </c>
      <c r="E18" s="87">
        <v>27</v>
      </c>
      <c r="I18" s="72" t="s">
        <v>240</v>
      </c>
      <c r="J18" s="84" t="s">
        <v>100</v>
      </c>
      <c r="K18" s="234" t="s">
        <v>317</v>
      </c>
      <c r="L18" s="86" t="s">
        <v>479</v>
      </c>
      <c r="M18" s="87">
        <v>22</v>
      </c>
    </row>
    <row r="19" spans="1:22" ht="45.75">
      <c r="A19" s="72" t="s">
        <v>240</v>
      </c>
      <c r="B19" s="84"/>
      <c r="C19" s="85"/>
      <c r="D19" s="86"/>
      <c r="E19" s="87"/>
      <c r="I19" s="72" t="s">
        <v>240</v>
      </c>
      <c r="J19" s="84" t="s">
        <v>100</v>
      </c>
      <c r="K19" s="234" t="s">
        <v>486</v>
      </c>
      <c r="L19" s="86" t="s">
        <v>479</v>
      </c>
      <c r="M19" s="87">
        <v>14</v>
      </c>
      <c r="Q19" s="42"/>
      <c r="R19" s="63" t="s">
        <v>215</v>
      </c>
      <c r="S19" s="65" t="s">
        <v>216</v>
      </c>
      <c r="T19" s="66" t="s">
        <v>217</v>
      </c>
      <c r="U19" s="45" t="s">
        <v>218</v>
      </c>
    </row>
    <row r="20" spans="1:22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67" t="s">
        <v>219</v>
      </c>
      <c r="R20" s="68"/>
      <c r="S20" s="69"/>
      <c r="T20" s="70"/>
      <c r="U20" s="71"/>
    </row>
    <row r="21" spans="1:22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72" t="s">
        <v>220</v>
      </c>
      <c r="R21" s="73" t="s">
        <v>100</v>
      </c>
      <c r="S21" s="246"/>
      <c r="T21" s="75" t="s">
        <v>142</v>
      </c>
      <c r="U21" s="76">
        <v>6</v>
      </c>
    </row>
    <row r="22" spans="1:22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72" t="s">
        <v>226</v>
      </c>
      <c r="R22" s="73" t="s">
        <v>145</v>
      </c>
      <c r="S22" s="257" t="s">
        <v>477</v>
      </c>
      <c r="T22" s="78" t="s">
        <v>142</v>
      </c>
      <c r="U22" s="76">
        <v>60</v>
      </c>
    </row>
    <row r="23" spans="1:22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72" t="s">
        <v>232</v>
      </c>
      <c r="R23" s="73" t="s">
        <v>145</v>
      </c>
      <c r="S23" s="329" t="s">
        <v>477</v>
      </c>
      <c r="T23" s="78" t="s">
        <v>142</v>
      </c>
      <c r="U23" s="76">
        <v>60</v>
      </c>
    </row>
    <row r="24" spans="1:22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72" t="s">
        <v>303</v>
      </c>
      <c r="R24" s="84" t="s">
        <v>145</v>
      </c>
      <c r="S24" s="330" t="s">
        <v>477</v>
      </c>
      <c r="T24" s="86" t="s">
        <v>142</v>
      </c>
      <c r="U24" s="87">
        <v>60</v>
      </c>
    </row>
    <row r="25" spans="1:22">
      <c r="A25" s="67" t="s">
        <v>242</v>
      </c>
      <c r="B25" s="84"/>
      <c r="C25" s="85"/>
      <c r="D25" s="86"/>
      <c r="E25" s="87">
        <v>303</v>
      </c>
      <c r="I25" s="67" t="s">
        <v>242</v>
      </c>
      <c r="J25" s="84"/>
      <c r="K25" s="85"/>
      <c r="L25" s="86"/>
      <c r="M25" s="87">
        <v>507</v>
      </c>
      <c r="Q25" s="72" t="s">
        <v>303</v>
      </c>
      <c r="R25" s="84" t="s">
        <v>145</v>
      </c>
      <c r="S25" s="330" t="s">
        <v>477</v>
      </c>
      <c r="T25" s="86" t="s">
        <v>142</v>
      </c>
      <c r="U25" s="87">
        <v>60</v>
      </c>
    </row>
    <row r="26" spans="1:22">
      <c r="A26" s="67" t="s">
        <v>243</v>
      </c>
      <c r="B26" s="84"/>
      <c r="C26" s="85"/>
      <c r="D26" s="86"/>
      <c r="E26" s="87">
        <v>6</v>
      </c>
      <c r="I26" s="67" t="s">
        <v>243</v>
      </c>
      <c r="J26" s="84"/>
      <c r="K26" s="85"/>
      <c r="L26" s="86"/>
      <c r="M26" s="87">
        <v>11</v>
      </c>
      <c r="Q26" s="72" t="s">
        <v>306</v>
      </c>
      <c r="R26" s="84" t="s">
        <v>145</v>
      </c>
      <c r="S26" s="234" t="s">
        <v>481</v>
      </c>
      <c r="T26" s="86" t="s">
        <v>142</v>
      </c>
      <c r="U26" s="87">
        <v>97</v>
      </c>
    </row>
    <row r="27" spans="1:22">
      <c r="Q27" s="72" t="s">
        <v>240</v>
      </c>
      <c r="R27" s="84" t="s">
        <v>100</v>
      </c>
      <c r="S27" s="234" t="s">
        <v>483</v>
      </c>
      <c r="T27" s="86" t="s">
        <v>142</v>
      </c>
      <c r="U27" s="87">
        <v>16</v>
      </c>
    </row>
    <row r="28" spans="1:22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42"/>
      <c r="J28" s="43" t="s">
        <v>215</v>
      </c>
      <c r="K28" s="65" t="s">
        <v>216</v>
      </c>
      <c r="L28" s="66" t="s">
        <v>217</v>
      </c>
      <c r="M28" s="45" t="s">
        <v>218</v>
      </c>
      <c r="Q28" s="67" t="s">
        <v>242</v>
      </c>
      <c r="R28" s="84"/>
      <c r="S28" s="85"/>
      <c r="T28" s="86"/>
      <c r="U28" s="87">
        <f>SUM(U21:U27)</f>
        <v>359</v>
      </c>
    </row>
    <row r="29" spans="1:22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67" t="s">
        <v>243</v>
      </c>
      <c r="R29" s="84"/>
      <c r="S29" s="85"/>
      <c r="T29" s="86"/>
      <c r="U29" s="87">
        <v>7</v>
      </c>
    </row>
    <row r="30" spans="1:22" ht="60.75">
      <c r="A30" s="72" t="s">
        <v>220</v>
      </c>
      <c r="B30" s="73" t="s">
        <v>100</v>
      </c>
      <c r="C30" s="256" t="s">
        <v>365</v>
      </c>
      <c r="D30" s="75" t="s">
        <v>78</v>
      </c>
      <c r="E30" s="76">
        <v>6</v>
      </c>
      <c r="I30" s="88" t="s">
        <v>259</v>
      </c>
      <c r="J30" s="73" t="s">
        <v>145</v>
      </c>
      <c r="K30" s="256" t="s">
        <v>487</v>
      </c>
      <c r="L30" s="75" t="s">
        <v>127</v>
      </c>
      <c r="M30" s="76">
        <v>150</v>
      </c>
      <c r="V30" t="s">
        <v>488</v>
      </c>
    </row>
    <row r="31" spans="1:22" ht="45.75">
      <c r="A31" s="72" t="s">
        <v>226</v>
      </c>
      <c r="B31" s="73" t="s">
        <v>145</v>
      </c>
      <c r="C31" s="257" t="s">
        <v>477</v>
      </c>
      <c r="D31" s="78" t="s">
        <v>78</v>
      </c>
      <c r="E31" s="76">
        <v>60</v>
      </c>
      <c r="I31" s="88" t="s">
        <v>261</v>
      </c>
      <c r="J31" s="73" t="s">
        <v>145</v>
      </c>
      <c r="K31" s="257" t="s">
        <v>487</v>
      </c>
      <c r="L31" s="78" t="s">
        <v>127</v>
      </c>
      <c r="M31" s="76">
        <v>140</v>
      </c>
      <c r="Q31" s="42"/>
      <c r="R31" s="43" t="s">
        <v>215</v>
      </c>
      <c r="S31" s="65" t="s">
        <v>216</v>
      </c>
      <c r="T31" s="66" t="s">
        <v>217</v>
      </c>
      <c r="U31" s="45" t="s">
        <v>218</v>
      </c>
    </row>
    <row r="32" spans="1:22">
      <c r="A32" s="72" t="s">
        <v>232</v>
      </c>
      <c r="B32" s="73" t="s">
        <v>145</v>
      </c>
      <c r="C32" s="257" t="s">
        <v>477</v>
      </c>
      <c r="D32" s="78" t="s">
        <v>78</v>
      </c>
      <c r="E32" s="76">
        <v>60</v>
      </c>
      <c r="I32" s="79"/>
      <c r="J32" s="80"/>
      <c r="K32" s="81"/>
      <c r="L32" s="82"/>
      <c r="M32" s="83"/>
      <c r="Q32" s="67" t="s">
        <v>219</v>
      </c>
      <c r="R32" s="68"/>
      <c r="S32" s="69"/>
      <c r="T32" s="70"/>
      <c r="U32" s="71"/>
    </row>
    <row r="33" spans="1:21">
      <c r="A33" s="79"/>
      <c r="B33" s="80"/>
      <c r="C33" s="81"/>
      <c r="D33" s="82"/>
      <c r="E33" s="83"/>
      <c r="I33" s="67" t="s">
        <v>234</v>
      </c>
      <c r="J33" s="80"/>
      <c r="K33" s="81"/>
      <c r="L33" s="82"/>
      <c r="M33" s="83"/>
      <c r="Q33" s="72" t="s">
        <v>220</v>
      </c>
      <c r="R33" s="73" t="s">
        <v>100</v>
      </c>
      <c r="S33" s="329" t="s">
        <v>7</v>
      </c>
      <c r="T33" s="75" t="s">
        <v>142</v>
      </c>
      <c r="U33" s="76">
        <v>21</v>
      </c>
    </row>
    <row r="34" spans="1:21" ht="45.75">
      <c r="A34" s="67" t="s">
        <v>234</v>
      </c>
      <c r="B34" s="80"/>
      <c r="C34" s="81"/>
      <c r="D34" s="82"/>
      <c r="E34" s="83"/>
      <c r="I34" s="88" t="s">
        <v>261</v>
      </c>
      <c r="J34" s="84" t="s">
        <v>145</v>
      </c>
      <c r="K34" s="234" t="s">
        <v>489</v>
      </c>
      <c r="L34" s="86" t="s">
        <v>127</v>
      </c>
      <c r="M34" s="87">
        <v>105</v>
      </c>
      <c r="Q34" s="25" t="s">
        <v>252</v>
      </c>
      <c r="R34" s="73" t="s">
        <v>145</v>
      </c>
      <c r="S34" s="257" t="s">
        <v>253</v>
      </c>
      <c r="T34" s="78" t="s">
        <v>142</v>
      </c>
      <c r="U34" s="76">
        <v>70</v>
      </c>
    </row>
    <row r="35" spans="1:21" ht="45.75">
      <c r="A35" s="72" t="s">
        <v>303</v>
      </c>
      <c r="B35" s="84" t="s">
        <v>162</v>
      </c>
      <c r="C35" s="234" t="s">
        <v>477</v>
      </c>
      <c r="D35" s="86" t="s">
        <v>78</v>
      </c>
      <c r="E35" s="87">
        <v>60</v>
      </c>
      <c r="I35" s="88" t="s">
        <v>261</v>
      </c>
      <c r="J35" s="84" t="s">
        <v>145</v>
      </c>
      <c r="K35" s="234" t="s">
        <v>489</v>
      </c>
      <c r="L35" s="86" t="s">
        <v>127</v>
      </c>
      <c r="M35" s="87">
        <v>105</v>
      </c>
      <c r="Q35" s="25" t="s">
        <v>254</v>
      </c>
      <c r="R35" s="73" t="s">
        <v>145</v>
      </c>
      <c r="S35" s="257" t="s">
        <v>253</v>
      </c>
      <c r="T35" s="78" t="s">
        <v>142</v>
      </c>
      <c r="U35" s="76">
        <v>70</v>
      </c>
    </row>
    <row r="36" spans="1:21" ht="45.75">
      <c r="A36" s="72" t="s">
        <v>303</v>
      </c>
      <c r="B36" s="84" t="s">
        <v>162</v>
      </c>
      <c r="C36" s="234" t="s">
        <v>477</v>
      </c>
      <c r="D36" s="86" t="s">
        <v>78</v>
      </c>
      <c r="E36" s="87">
        <v>60</v>
      </c>
      <c r="I36" s="88" t="s">
        <v>261</v>
      </c>
      <c r="J36" s="84" t="s">
        <v>145</v>
      </c>
      <c r="K36" s="234" t="s">
        <v>490</v>
      </c>
      <c r="L36" s="86" t="s">
        <v>479</v>
      </c>
      <c r="M36" s="87">
        <v>90</v>
      </c>
      <c r="Q36" s="79"/>
      <c r="R36" s="80"/>
      <c r="S36" s="81"/>
      <c r="T36" s="82"/>
      <c r="U36" s="83"/>
    </row>
    <row r="37" spans="1:21">
      <c r="A37" s="72" t="s">
        <v>305</v>
      </c>
      <c r="B37" s="84"/>
      <c r="C37" s="85"/>
      <c r="D37" s="86"/>
      <c r="E37" s="87"/>
      <c r="I37" s="42"/>
      <c r="J37" s="80"/>
      <c r="K37" s="81"/>
      <c r="L37" s="82"/>
      <c r="M37" s="83"/>
      <c r="Q37" s="67" t="s">
        <v>234</v>
      </c>
      <c r="R37" s="80"/>
      <c r="S37" s="81"/>
      <c r="T37" s="82"/>
      <c r="U37" s="83"/>
    </row>
    <row r="38" spans="1:21">
      <c r="A38" s="72" t="s">
        <v>306</v>
      </c>
      <c r="B38" s="84"/>
      <c r="C38" s="85"/>
      <c r="D38" s="86"/>
      <c r="E38" s="87"/>
      <c r="I38" s="42"/>
      <c r="J38" s="80"/>
      <c r="K38" s="81"/>
      <c r="L38" s="82"/>
      <c r="M38" s="83"/>
      <c r="Q38" s="25" t="s">
        <v>256</v>
      </c>
      <c r="R38" s="73" t="s">
        <v>145</v>
      </c>
      <c r="S38" s="257" t="s">
        <v>326</v>
      </c>
      <c r="T38" s="78" t="s">
        <v>142</v>
      </c>
      <c r="U38" s="76">
        <v>60</v>
      </c>
    </row>
    <row r="39" spans="1:21">
      <c r="A39" s="72" t="s">
        <v>309</v>
      </c>
      <c r="B39" s="84"/>
      <c r="C39" s="85"/>
      <c r="D39" s="86"/>
      <c r="E39" s="87"/>
      <c r="I39" s="67" t="s">
        <v>242</v>
      </c>
      <c r="J39" s="84"/>
      <c r="K39" s="85"/>
      <c r="L39" s="86"/>
      <c r="M39" s="87">
        <v>590</v>
      </c>
      <c r="Q39" s="25" t="s">
        <v>256</v>
      </c>
      <c r="R39" s="84"/>
      <c r="S39" s="85"/>
      <c r="T39" s="86"/>
      <c r="U39" s="87"/>
    </row>
    <row r="40" spans="1:21">
      <c r="A40" s="72" t="s">
        <v>309</v>
      </c>
      <c r="B40" s="84"/>
      <c r="C40" s="85"/>
      <c r="D40" s="86"/>
      <c r="E40" s="87"/>
      <c r="I40" s="67" t="s">
        <v>243</v>
      </c>
      <c r="J40" s="84"/>
      <c r="K40" s="85"/>
      <c r="L40" s="86"/>
      <c r="M40" s="87">
        <v>5</v>
      </c>
      <c r="Q40" s="25" t="s">
        <v>256</v>
      </c>
      <c r="R40" s="84"/>
      <c r="S40" s="85"/>
      <c r="T40" s="86"/>
      <c r="U40" s="87"/>
    </row>
    <row r="41" spans="1:21">
      <c r="A41" s="72" t="s">
        <v>375</v>
      </c>
      <c r="B41" s="84"/>
      <c r="C41" s="85"/>
      <c r="D41" s="86"/>
      <c r="E41" s="87"/>
      <c r="Q41" s="72" t="s">
        <v>271</v>
      </c>
      <c r="R41" s="84"/>
      <c r="S41" s="85"/>
      <c r="T41" s="86"/>
      <c r="U41" s="87"/>
    </row>
    <row r="42" spans="1:21">
      <c r="A42" s="72" t="s">
        <v>235</v>
      </c>
      <c r="B42" s="84" t="s">
        <v>162</v>
      </c>
      <c r="C42" s="234" t="s">
        <v>258</v>
      </c>
      <c r="D42" s="86" t="s">
        <v>78</v>
      </c>
      <c r="E42" s="87">
        <v>25</v>
      </c>
      <c r="I42" s="90"/>
      <c r="J42" s="91"/>
      <c r="K42" s="92" t="s">
        <v>274</v>
      </c>
      <c r="L42" s="103"/>
      <c r="Q42" s="72" t="s">
        <v>271</v>
      </c>
      <c r="R42" s="84"/>
      <c r="S42" s="85"/>
      <c r="T42" s="86"/>
      <c r="U42" s="87"/>
    </row>
    <row r="43" spans="1:21">
      <c r="A43" s="72" t="s">
        <v>240</v>
      </c>
      <c r="B43" s="84"/>
      <c r="C43" s="85"/>
      <c r="D43" s="86"/>
      <c r="E43" s="87"/>
      <c r="I43" s="67" t="s">
        <v>275</v>
      </c>
      <c r="J43" s="73" t="s">
        <v>51</v>
      </c>
      <c r="K43" s="81"/>
      <c r="L43" s="103"/>
      <c r="Q43" s="72" t="s">
        <v>271</v>
      </c>
      <c r="R43" s="84"/>
      <c r="S43" s="85"/>
      <c r="T43" s="86"/>
      <c r="U43" s="87"/>
    </row>
    <row r="44" spans="1:21">
      <c r="A44" s="72" t="s">
        <v>240</v>
      </c>
      <c r="B44" s="84"/>
      <c r="C44" s="85"/>
      <c r="D44" s="86"/>
      <c r="E44" s="87"/>
      <c r="I44" s="67" t="s">
        <v>277</v>
      </c>
      <c r="J44" s="73" t="s">
        <v>171</v>
      </c>
      <c r="K44" s="81"/>
      <c r="L44" s="103"/>
      <c r="Q44" s="72" t="s">
        <v>271</v>
      </c>
      <c r="R44" s="84"/>
      <c r="S44" s="85"/>
      <c r="T44" s="86"/>
      <c r="U44" s="87"/>
    </row>
    <row r="45" spans="1:21">
      <c r="A45" s="72" t="s">
        <v>240</v>
      </c>
      <c r="B45" s="84"/>
      <c r="C45" s="85"/>
      <c r="D45" s="86"/>
      <c r="E45" s="87"/>
      <c r="I45" s="67" t="s">
        <v>278</v>
      </c>
      <c r="J45" s="73">
        <v>3</v>
      </c>
      <c r="K45" s="81"/>
      <c r="L45" s="103"/>
      <c r="Q45" s="72" t="s">
        <v>271</v>
      </c>
      <c r="R45" s="84"/>
      <c r="S45" s="85"/>
      <c r="T45" s="86"/>
      <c r="U45" s="87"/>
    </row>
    <row r="46" spans="1:21">
      <c r="A46" s="72" t="s">
        <v>240</v>
      </c>
      <c r="B46" s="84"/>
      <c r="C46" s="85"/>
      <c r="D46" s="86"/>
      <c r="E46" s="87"/>
      <c r="I46" s="67" t="s">
        <v>282</v>
      </c>
      <c r="J46" s="73" t="s">
        <v>31</v>
      </c>
      <c r="K46" s="81"/>
      <c r="L46" s="103"/>
      <c r="Q46" s="42"/>
      <c r="R46" s="80"/>
      <c r="S46" s="81"/>
      <c r="T46" s="82"/>
      <c r="U46" s="83"/>
    </row>
    <row r="47" spans="1:21">
      <c r="A47" s="72" t="s">
        <v>240</v>
      </c>
      <c r="B47" s="84"/>
      <c r="C47" s="85"/>
      <c r="D47" s="86"/>
      <c r="E47" s="87"/>
      <c r="I47" s="93"/>
      <c r="J47" s="80"/>
      <c r="K47" s="81"/>
      <c r="L47" s="103"/>
      <c r="Q47" s="42"/>
      <c r="R47" s="80"/>
      <c r="S47" s="81"/>
      <c r="T47" s="82"/>
      <c r="U47" s="83"/>
    </row>
    <row r="48" spans="1:21">
      <c r="A48" s="42"/>
      <c r="B48" s="80"/>
      <c r="C48" s="81"/>
      <c r="D48" s="82"/>
      <c r="E48" s="83"/>
      <c r="I48" s="94" t="s">
        <v>284</v>
      </c>
      <c r="J48" s="94"/>
      <c r="K48" s="94"/>
      <c r="L48" s="103"/>
      <c r="Q48" s="67" t="s">
        <v>242</v>
      </c>
      <c r="R48" s="84"/>
      <c r="S48" s="85"/>
      <c r="T48" s="86"/>
      <c r="U48" s="87">
        <f>SUM(U32:U47)</f>
        <v>221</v>
      </c>
    </row>
    <row r="49" spans="1:21">
      <c r="A49" s="42"/>
      <c r="B49" s="80"/>
      <c r="C49" s="81"/>
      <c r="D49" s="82"/>
      <c r="E49" s="83"/>
      <c r="I49" s="94"/>
      <c r="J49" s="94" t="s">
        <v>285</v>
      </c>
      <c r="K49" s="94" t="s">
        <v>15</v>
      </c>
      <c r="L49" s="94" t="s">
        <v>5</v>
      </c>
      <c r="Q49" s="67" t="s">
        <v>243</v>
      </c>
      <c r="R49" s="84"/>
      <c r="S49" s="85"/>
      <c r="T49" s="86"/>
      <c r="U49" s="87">
        <v>4</v>
      </c>
    </row>
    <row r="50" spans="1:21">
      <c r="A50" s="67" t="s">
        <v>242</v>
      </c>
      <c r="B50" s="84"/>
      <c r="C50" s="85"/>
      <c r="D50" s="86"/>
      <c r="E50" s="87">
        <v>271</v>
      </c>
      <c r="I50" s="95" t="s">
        <v>393</v>
      </c>
      <c r="J50" s="95">
        <v>0</v>
      </c>
      <c r="K50" s="95">
        <v>0</v>
      </c>
      <c r="L50" s="96"/>
    </row>
    <row r="51" spans="1:21" ht="45.75">
      <c r="A51" s="67" t="s">
        <v>243</v>
      </c>
      <c r="B51" s="84"/>
      <c r="C51" s="85"/>
      <c r="D51" s="86"/>
      <c r="E51" s="87">
        <v>6</v>
      </c>
      <c r="I51" s="96" t="s">
        <v>286</v>
      </c>
      <c r="J51" s="96">
        <v>507</v>
      </c>
      <c r="K51" s="96">
        <v>11</v>
      </c>
      <c r="L51" s="96"/>
      <c r="Q51" s="42"/>
      <c r="R51" s="43" t="s">
        <v>215</v>
      </c>
      <c r="S51" s="65" t="s">
        <v>216</v>
      </c>
      <c r="T51" s="66" t="s">
        <v>217</v>
      </c>
      <c r="U51" s="45" t="s">
        <v>218</v>
      </c>
    </row>
    <row r="52" spans="1:21">
      <c r="I52" s="96" t="s">
        <v>287</v>
      </c>
      <c r="J52" s="96">
        <v>0</v>
      </c>
      <c r="K52" s="96">
        <v>0</v>
      </c>
      <c r="L52" s="96"/>
      <c r="Q52" s="67" t="s">
        <v>219</v>
      </c>
      <c r="R52" s="68"/>
      <c r="S52" s="69"/>
      <c r="T52" s="70"/>
      <c r="U52" s="71"/>
    </row>
    <row r="53" spans="1:21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96" t="s">
        <v>289</v>
      </c>
      <c r="J53" s="96">
        <v>0</v>
      </c>
      <c r="K53" s="96">
        <v>0</v>
      </c>
      <c r="L53" s="96"/>
      <c r="Q53" s="72" t="s">
        <v>220</v>
      </c>
      <c r="R53" s="73" t="s">
        <v>100</v>
      </c>
      <c r="S53" s="329" t="s">
        <v>7</v>
      </c>
      <c r="T53" s="75" t="s">
        <v>142</v>
      </c>
      <c r="U53" s="76">
        <v>21</v>
      </c>
    </row>
    <row r="54" spans="1:21">
      <c r="A54" s="67" t="s">
        <v>219</v>
      </c>
      <c r="B54" s="68"/>
      <c r="C54" s="69"/>
      <c r="D54" s="70"/>
      <c r="E54" s="71"/>
      <c r="I54" s="96" t="s">
        <v>396</v>
      </c>
      <c r="J54" s="96">
        <v>0</v>
      </c>
      <c r="K54" s="96">
        <v>0</v>
      </c>
      <c r="L54" s="96"/>
      <c r="Q54" s="72" t="s">
        <v>250</v>
      </c>
      <c r="R54" s="73" t="s">
        <v>145</v>
      </c>
      <c r="S54" s="267" t="s">
        <v>491</v>
      </c>
      <c r="T54" s="78" t="s">
        <v>142</v>
      </c>
      <c r="U54" s="76">
        <v>50</v>
      </c>
    </row>
    <row r="55" spans="1:21">
      <c r="A55" s="72" t="s">
        <v>220</v>
      </c>
      <c r="B55" s="73" t="s">
        <v>100</v>
      </c>
      <c r="C55" s="256" t="s">
        <v>365</v>
      </c>
      <c r="D55" s="75" t="s">
        <v>78</v>
      </c>
      <c r="E55" s="76">
        <v>21</v>
      </c>
      <c r="I55" s="95" t="s">
        <v>397</v>
      </c>
      <c r="J55" s="96">
        <v>0</v>
      </c>
      <c r="K55" s="96">
        <v>0</v>
      </c>
      <c r="L55" s="96"/>
      <c r="Q55" s="79"/>
      <c r="R55" s="80"/>
      <c r="S55" s="81"/>
      <c r="T55" s="82"/>
      <c r="U55" s="83"/>
    </row>
    <row r="56" spans="1:21">
      <c r="A56" s="72" t="s">
        <v>250</v>
      </c>
      <c r="B56" s="73" t="s">
        <v>145</v>
      </c>
      <c r="C56" s="267" t="s">
        <v>492</v>
      </c>
      <c r="D56" s="78" t="s">
        <v>78</v>
      </c>
      <c r="E56" s="76">
        <v>35</v>
      </c>
      <c r="I56" s="95" t="s">
        <v>291</v>
      </c>
      <c r="J56" s="96">
        <v>0</v>
      </c>
      <c r="K56" s="96">
        <v>0</v>
      </c>
      <c r="L56" s="96"/>
      <c r="Q56" s="67" t="s">
        <v>234</v>
      </c>
      <c r="R56" s="80"/>
      <c r="S56" s="81"/>
      <c r="T56" s="82"/>
      <c r="U56" s="83"/>
    </row>
    <row r="57" spans="1:21">
      <c r="A57" s="79"/>
      <c r="B57" s="80"/>
      <c r="C57" s="81"/>
      <c r="D57" s="82"/>
      <c r="E57" s="83"/>
      <c r="I57" s="95" t="s">
        <v>288</v>
      </c>
      <c r="J57" s="96">
        <v>0</v>
      </c>
      <c r="K57" s="96">
        <v>0</v>
      </c>
      <c r="L57" s="96"/>
      <c r="Q57" s="72" t="s">
        <v>250</v>
      </c>
      <c r="R57" s="84" t="s">
        <v>145</v>
      </c>
      <c r="S57" s="125" t="s">
        <v>493</v>
      </c>
      <c r="T57" s="89" t="s">
        <v>142</v>
      </c>
      <c r="U57" s="87">
        <v>45</v>
      </c>
    </row>
    <row r="58" spans="1:21">
      <c r="A58" s="67" t="s">
        <v>234</v>
      </c>
      <c r="B58" s="80"/>
      <c r="C58" s="81"/>
      <c r="D58" s="82"/>
      <c r="E58" s="83"/>
      <c r="I58" s="95" t="s">
        <v>398</v>
      </c>
      <c r="J58" s="96">
        <v>0</v>
      </c>
      <c r="K58" s="96">
        <v>0</v>
      </c>
      <c r="L58" s="96"/>
      <c r="Q58" s="72" t="s">
        <v>250</v>
      </c>
      <c r="R58" s="84" t="s">
        <v>145</v>
      </c>
      <c r="S58" s="234" t="s">
        <v>493</v>
      </c>
      <c r="T58" s="86" t="s">
        <v>142</v>
      </c>
      <c r="U58" s="87">
        <v>45</v>
      </c>
    </row>
    <row r="59" spans="1:21">
      <c r="A59" s="72" t="s">
        <v>250</v>
      </c>
      <c r="B59" s="84" t="s">
        <v>145</v>
      </c>
      <c r="C59" s="125" t="s">
        <v>492</v>
      </c>
      <c r="D59" s="89" t="s">
        <v>78</v>
      </c>
      <c r="E59" s="87">
        <v>35</v>
      </c>
      <c r="I59" s="95" t="s">
        <v>290</v>
      </c>
      <c r="J59" s="96">
        <v>590</v>
      </c>
      <c r="K59" s="96">
        <v>5</v>
      </c>
      <c r="L59" s="96"/>
      <c r="Q59" s="72" t="s">
        <v>250</v>
      </c>
      <c r="R59" s="84"/>
      <c r="S59" s="85"/>
      <c r="T59" s="86"/>
      <c r="U59" s="87"/>
    </row>
    <row r="60" spans="1:21">
      <c r="A60" s="72" t="s">
        <v>250</v>
      </c>
      <c r="B60" s="84" t="s">
        <v>145</v>
      </c>
      <c r="C60" s="234" t="s">
        <v>492</v>
      </c>
      <c r="D60" s="86" t="s">
        <v>78</v>
      </c>
      <c r="E60" s="87">
        <v>35</v>
      </c>
      <c r="I60" s="95" t="s">
        <v>399</v>
      </c>
      <c r="J60" s="96">
        <v>0</v>
      </c>
      <c r="K60" s="96">
        <v>0</v>
      </c>
      <c r="L60" s="96"/>
      <c r="Q60" s="72" t="s">
        <v>271</v>
      </c>
      <c r="R60" s="84"/>
      <c r="S60" s="85"/>
      <c r="T60" s="86"/>
      <c r="U60" s="87"/>
    </row>
    <row r="61" spans="1:21">
      <c r="A61" s="72" t="s">
        <v>250</v>
      </c>
      <c r="B61" s="84" t="s">
        <v>145</v>
      </c>
      <c r="C61" s="234" t="s">
        <v>492</v>
      </c>
      <c r="D61" s="86" t="s">
        <v>78</v>
      </c>
      <c r="E61" s="87">
        <v>35</v>
      </c>
      <c r="I61" s="95" t="s">
        <v>400</v>
      </c>
      <c r="J61" s="96">
        <v>0</v>
      </c>
      <c r="K61" s="96">
        <v>0</v>
      </c>
      <c r="L61" s="96"/>
      <c r="Q61" s="72" t="s">
        <v>271</v>
      </c>
      <c r="R61" s="84"/>
      <c r="S61" s="85"/>
      <c r="T61" s="86"/>
      <c r="U61" s="87"/>
    </row>
    <row r="62" spans="1:21">
      <c r="A62" s="72" t="s">
        <v>271</v>
      </c>
      <c r="B62" s="84"/>
      <c r="C62" s="85"/>
      <c r="D62" s="86"/>
      <c r="E62" s="87"/>
      <c r="I62" s="95" t="s">
        <v>400</v>
      </c>
      <c r="J62" s="96">
        <v>0</v>
      </c>
      <c r="K62" s="96">
        <v>0</v>
      </c>
      <c r="L62" s="96"/>
      <c r="Q62" s="72" t="s">
        <v>271</v>
      </c>
      <c r="R62" s="84"/>
      <c r="S62" s="85"/>
      <c r="T62" s="86"/>
      <c r="U62" s="87"/>
    </row>
    <row r="63" spans="1:21">
      <c r="A63" s="72" t="s">
        <v>271</v>
      </c>
      <c r="B63" s="84"/>
      <c r="C63" s="85"/>
      <c r="D63" s="86"/>
      <c r="E63" s="87"/>
      <c r="I63" s="96"/>
      <c r="J63" s="94">
        <v>1097</v>
      </c>
      <c r="K63" s="94">
        <v>16</v>
      </c>
      <c r="L63" s="96"/>
      <c r="Q63" s="72" t="s">
        <v>271</v>
      </c>
      <c r="R63" s="84"/>
      <c r="S63" s="85"/>
      <c r="T63" s="86"/>
      <c r="U63" s="87"/>
    </row>
    <row r="64" spans="1:21">
      <c r="A64" s="72" t="s">
        <v>271</v>
      </c>
      <c r="B64" s="84"/>
      <c r="C64" s="85"/>
      <c r="D64" s="86"/>
      <c r="E64" s="87"/>
      <c r="Q64" s="42"/>
      <c r="R64" s="80"/>
      <c r="S64" s="81"/>
      <c r="T64" s="82"/>
      <c r="U64" s="83"/>
    </row>
    <row r="65" spans="1:21">
      <c r="A65" s="72" t="s">
        <v>271</v>
      </c>
      <c r="B65" s="84"/>
      <c r="C65" s="85"/>
      <c r="D65" s="86"/>
      <c r="E65" s="87"/>
      <c r="Q65" s="42"/>
      <c r="R65" s="80"/>
      <c r="S65" s="81"/>
      <c r="T65" s="82"/>
      <c r="U65" s="83"/>
    </row>
    <row r="66" spans="1:21">
      <c r="A66" s="42"/>
      <c r="B66" s="80"/>
      <c r="C66" s="81"/>
      <c r="D66" s="82"/>
      <c r="E66" s="83"/>
      <c r="Q66" s="67" t="s">
        <v>242</v>
      </c>
      <c r="R66" s="84"/>
      <c r="S66" s="85"/>
      <c r="T66" s="86"/>
      <c r="U66" s="87">
        <f>SUM(U53:U63)</f>
        <v>161</v>
      </c>
    </row>
    <row r="67" spans="1:21">
      <c r="A67" s="42"/>
      <c r="B67" s="80"/>
      <c r="C67" s="81"/>
      <c r="D67" s="82"/>
      <c r="E67" s="83"/>
      <c r="Q67" s="67" t="s">
        <v>243</v>
      </c>
      <c r="R67" s="84"/>
      <c r="S67" s="85"/>
      <c r="T67" s="86"/>
      <c r="U67" s="87">
        <v>4</v>
      </c>
    </row>
    <row r="68" spans="1:21">
      <c r="A68" s="67" t="s">
        <v>242</v>
      </c>
      <c r="B68" s="84"/>
      <c r="C68" s="85"/>
      <c r="D68" s="86"/>
      <c r="E68" s="87">
        <v>161</v>
      </c>
    </row>
    <row r="69" spans="1:21">
      <c r="A69" s="67" t="s">
        <v>243</v>
      </c>
      <c r="B69" s="84"/>
      <c r="C69" s="85"/>
      <c r="D69" s="86"/>
      <c r="E69" s="87">
        <v>5</v>
      </c>
      <c r="Q69" s="67" t="s">
        <v>275</v>
      </c>
      <c r="R69" s="73" t="s">
        <v>51</v>
      </c>
      <c r="S69" s="81"/>
      <c r="T69" s="103"/>
    </row>
    <row r="70" spans="1:21">
      <c r="Q70" s="67" t="s">
        <v>277</v>
      </c>
      <c r="R70" s="73" t="s">
        <v>472</v>
      </c>
      <c r="S70" s="81"/>
      <c r="T70" s="103"/>
    </row>
    <row r="71" spans="1:21" ht="45.75">
      <c r="A71" s="42"/>
      <c r="B71" s="43" t="s">
        <v>215</v>
      </c>
      <c r="C71" s="65" t="s">
        <v>216</v>
      </c>
      <c r="D71" s="66" t="s">
        <v>217</v>
      </c>
      <c r="E71" s="45" t="s">
        <v>218</v>
      </c>
      <c r="Q71" s="67" t="s">
        <v>278</v>
      </c>
      <c r="R71" s="73">
        <v>2</v>
      </c>
      <c r="S71" s="81"/>
      <c r="T71" s="103"/>
    </row>
    <row r="72" spans="1:21">
      <c r="A72" s="67" t="s">
        <v>219</v>
      </c>
      <c r="B72" s="68"/>
      <c r="C72" s="69"/>
      <c r="D72" s="70"/>
      <c r="E72" s="71"/>
      <c r="Q72" s="67" t="s">
        <v>282</v>
      </c>
      <c r="R72" s="73" t="s">
        <v>32</v>
      </c>
      <c r="S72" s="81"/>
      <c r="T72" s="103"/>
    </row>
    <row r="73" spans="1:21" ht="60.75">
      <c r="A73" s="88" t="s">
        <v>259</v>
      </c>
      <c r="B73" s="73" t="s">
        <v>145</v>
      </c>
      <c r="C73" s="256" t="s">
        <v>494</v>
      </c>
      <c r="D73" s="75" t="s">
        <v>78</v>
      </c>
      <c r="E73" s="76">
        <v>140</v>
      </c>
      <c r="Q73" s="93"/>
      <c r="R73" s="80"/>
      <c r="S73" s="81"/>
      <c r="T73" s="103"/>
    </row>
    <row r="74" spans="1:21" ht="45.75">
      <c r="A74" s="88" t="s">
        <v>261</v>
      </c>
      <c r="B74" s="73" t="s">
        <v>145</v>
      </c>
      <c r="C74" s="257" t="s">
        <v>494</v>
      </c>
      <c r="D74" s="78" t="s">
        <v>78</v>
      </c>
      <c r="E74" s="76">
        <v>130</v>
      </c>
      <c r="Q74" s="94" t="s">
        <v>284</v>
      </c>
      <c r="R74" s="94"/>
      <c r="S74" s="94"/>
      <c r="T74" s="103"/>
    </row>
    <row r="75" spans="1:21">
      <c r="A75" s="79"/>
      <c r="B75" s="80"/>
      <c r="C75" s="81"/>
      <c r="D75" s="82"/>
      <c r="E75" s="83"/>
      <c r="Q75" s="94"/>
      <c r="R75" s="94" t="s">
        <v>285</v>
      </c>
      <c r="S75" s="94" t="s">
        <v>15</v>
      </c>
      <c r="T75" s="94" t="s">
        <v>5</v>
      </c>
    </row>
    <row r="76" spans="1:21">
      <c r="A76" s="67" t="s">
        <v>234</v>
      </c>
      <c r="B76" s="80"/>
      <c r="C76" s="81"/>
      <c r="D76" s="82"/>
      <c r="E76" s="83"/>
      <c r="Q76" s="95" t="s">
        <v>393</v>
      </c>
      <c r="R76" s="95">
        <v>0</v>
      </c>
      <c r="S76" s="95">
        <v>0</v>
      </c>
      <c r="T76" s="96"/>
    </row>
    <row r="77" spans="1:21" ht="45.75">
      <c r="A77" s="88" t="s">
        <v>261</v>
      </c>
      <c r="B77" s="84" t="s">
        <v>145</v>
      </c>
      <c r="C77" s="234" t="s">
        <v>495</v>
      </c>
      <c r="D77" s="86" t="s">
        <v>78</v>
      </c>
      <c r="E77" s="87">
        <v>95</v>
      </c>
      <c r="Q77" s="96" t="s">
        <v>286</v>
      </c>
      <c r="R77" s="96">
        <f>U16</f>
        <v>359</v>
      </c>
      <c r="S77" s="96">
        <v>7</v>
      </c>
      <c r="T77" s="96"/>
    </row>
    <row r="78" spans="1:21" ht="45.75">
      <c r="A78" s="88" t="s">
        <v>261</v>
      </c>
      <c r="B78" s="84"/>
      <c r="C78" s="85"/>
      <c r="D78" s="86"/>
      <c r="E78" s="87"/>
      <c r="Q78" s="96" t="s">
        <v>287</v>
      </c>
      <c r="R78" s="96">
        <f>U28</f>
        <v>359</v>
      </c>
      <c r="S78" s="96">
        <v>7</v>
      </c>
      <c r="T78" s="96"/>
    </row>
    <row r="79" spans="1:21" ht="45.75">
      <c r="A79" s="88" t="s">
        <v>261</v>
      </c>
      <c r="B79" s="84"/>
      <c r="C79" s="85"/>
      <c r="D79" s="86"/>
      <c r="E79" s="87"/>
      <c r="Q79" s="96" t="s">
        <v>289</v>
      </c>
      <c r="R79" s="96">
        <f>U48</f>
        <v>221</v>
      </c>
      <c r="S79" s="96">
        <v>4</v>
      </c>
      <c r="T79" s="96"/>
    </row>
    <row r="80" spans="1:21">
      <c r="A80" s="42"/>
      <c r="B80" s="80"/>
      <c r="C80" s="81"/>
      <c r="D80" s="82"/>
      <c r="E80" s="83"/>
      <c r="Q80" s="96" t="s">
        <v>396</v>
      </c>
      <c r="R80" s="96">
        <v>0</v>
      </c>
      <c r="S80" s="96">
        <v>0</v>
      </c>
      <c r="T80" s="96"/>
    </row>
    <row r="81" spans="1:20">
      <c r="A81" s="42"/>
      <c r="B81" s="80"/>
      <c r="C81" s="81"/>
      <c r="D81" s="82"/>
      <c r="E81" s="83"/>
      <c r="Q81" s="95" t="s">
        <v>397</v>
      </c>
      <c r="R81" s="96">
        <v>0</v>
      </c>
      <c r="S81" s="96">
        <v>0</v>
      </c>
      <c r="T81" s="96"/>
    </row>
    <row r="82" spans="1:20">
      <c r="A82" s="67" t="s">
        <v>242</v>
      </c>
      <c r="B82" s="84"/>
      <c r="C82" s="85"/>
      <c r="D82" s="86"/>
      <c r="E82" s="87">
        <f>SUM(E73:E79)</f>
        <v>365</v>
      </c>
      <c r="Q82" s="95" t="s">
        <v>291</v>
      </c>
      <c r="R82" s="96">
        <v>0</v>
      </c>
      <c r="S82" s="96">
        <v>0</v>
      </c>
      <c r="T82" s="96"/>
    </row>
    <row r="83" spans="1:20">
      <c r="A83" s="67" t="s">
        <v>243</v>
      </c>
      <c r="B83" s="84"/>
      <c r="C83" s="85"/>
      <c r="D83" s="86"/>
      <c r="E83" s="87">
        <v>3</v>
      </c>
      <c r="Q83" s="95" t="s">
        <v>288</v>
      </c>
      <c r="R83" s="96">
        <f>U66</f>
        <v>161</v>
      </c>
      <c r="S83" s="96">
        <v>4</v>
      </c>
      <c r="T83" s="96"/>
    </row>
    <row r="84" spans="1:20">
      <c r="Q84" s="95" t="s">
        <v>398</v>
      </c>
      <c r="R84" s="96">
        <v>0</v>
      </c>
      <c r="S84" s="96">
        <v>0</v>
      </c>
      <c r="T84" s="96"/>
    </row>
    <row r="85" spans="1:20">
      <c r="A85" s="90"/>
      <c r="B85" s="91"/>
      <c r="C85" s="92" t="s">
        <v>274</v>
      </c>
      <c r="D85" s="103"/>
      <c r="Q85" s="95" t="s">
        <v>290</v>
      </c>
      <c r="R85" s="96">
        <v>0</v>
      </c>
      <c r="S85" s="96">
        <v>0</v>
      </c>
      <c r="T85" s="96"/>
    </row>
    <row r="86" spans="1:20">
      <c r="A86" s="67" t="s">
        <v>275</v>
      </c>
      <c r="B86" s="73" t="s">
        <v>51</v>
      </c>
      <c r="C86" s="81"/>
      <c r="D86" s="103"/>
      <c r="Q86" s="95" t="s">
        <v>399</v>
      </c>
      <c r="R86" s="96">
        <v>0</v>
      </c>
      <c r="S86" s="96">
        <v>0</v>
      </c>
      <c r="T86" s="96"/>
    </row>
    <row r="87" spans="1:20">
      <c r="A87" s="67" t="s">
        <v>277</v>
      </c>
      <c r="B87" s="73" t="s">
        <v>470</v>
      </c>
      <c r="C87" s="81"/>
      <c r="D87" s="103"/>
      <c r="Q87" s="95" t="s">
        <v>400</v>
      </c>
      <c r="R87" s="96">
        <v>0</v>
      </c>
      <c r="S87" s="96">
        <v>0</v>
      </c>
      <c r="T87" s="96"/>
    </row>
    <row r="88" spans="1:20">
      <c r="A88" s="67" t="s">
        <v>278</v>
      </c>
      <c r="B88" s="73">
        <v>1</v>
      </c>
      <c r="C88" s="81"/>
      <c r="D88" s="103"/>
      <c r="Q88" s="95" t="s">
        <v>400</v>
      </c>
      <c r="R88" s="96">
        <v>0</v>
      </c>
      <c r="S88" s="96">
        <v>0</v>
      </c>
      <c r="T88" s="96"/>
    </row>
    <row r="89" spans="1:20">
      <c r="A89" s="67" t="s">
        <v>282</v>
      </c>
      <c r="B89" s="73" t="s">
        <v>496</v>
      </c>
      <c r="C89" s="81"/>
      <c r="D89" s="103"/>
      <c r="Q89" s="96"/>
      <c r="R89" s="94">
        <f>SUM(R76:R88)</f>
        <v>1100</v>
      </c>
      <c r="S89" s="94">
        <v>22</v>
      </c>
      <c r="T89" s="96"/>
    </row>
    <row r="90" spans="1:20">
      <c r="A90" s="93"/>
      <c r="B90" s="80"/>
      <c r="C90" s="81"/>
      <c r="D90" s="103"/>
    </row>
    <row r="91" spans="1:20">
      <c r="A91" s="94" t="s">
        <v>284</v>
      </c>
      <c r="B91" s="94"/>
      <c r="C91" s="94"/>
      <c r="D91" s="103"/>
    </row>
    <row r="92" spans="1:20">
      <c r="A92" s="94"/>
      <c r="B92" s="94" t="s">
        <v>285</v>
      </c>
      <c r="C92" s="94" t="s">
        <v>15</v>
      </c>
      <c r="D92" s="94" t="s">
        <v>5</v>
      </c>
    </row>
    <row r="93" spans="1:20">
      <c r="A93" s="95" t="s">
        <v>393</v>
      </c>
      <c r="B93" s="95">
        <v>0</v>
      </c>
      <c r="C93" s="95">
        <v>0</v>
      </c>
      <c r="D93" s="96"/>
    </row>
    <row r="94" spans="1:20">
      <c r="A94" s="96" t="s">
        <v>286</v>
      </c>
      <c r="B94" s="96">
        <f>E25</f>
        <v>303</v>
      </c>
      <c r="C94" s="96">
        <v>6</v>
      </c>
      <c r="D94" s="96"/>
    </row>
    <row r="95" spans="1:20">
      <c r="A95" s="96" t="s">
        <v>287</v>
      </c>
      <c r="B95" s="96">
        <f>E50</f>
        <v>271</v>
      </c>
      <c r="C95" s="96">
        <v>6</v>
      </c>
      <c r="D95" s="96"/>
    </row>
    <row r="96" spans="1:20">
      <c r="A96" s="96" t="s">
        <v>289</v>
      </c>
      <c r="B96" s="96">
        <v>0</v>
      </c>
      <c r="C96" s="96">
        <v>0</v>
      </c>
      <c r="D96" s="96"/>
    </row>
    <row r="97" spans="1:4">
      <c r="A97" s="96" t="s">
        <v>396</v>
      </c>
      <c r="B97" s="96">
        <v>0</v>
      </c>
      <c r="C97" s="96">
        <v>0</v>
      </c>
      <c r="D97" s="96"/>
    </row>
    <row r="98" spans="1:4">
      <c r="A98" s="95" t="s">
        <v>397</v>
      </c>
      <c r="B98" s="96">
        <v>0</v>
      </c>
      <c r="C98" s="96">
        <v>0</v>
      </c>
      <c r="D98" s="96"/>
    </row>
    <row r="99" spans="1:4">
      <c r="A99" s="95" t="s">
        <v>291</v>
      </c>
      <c r="B99" s="96">
        <v>0</v>
      </c>
      <c r="C99" s="96">
        <v>0</v>
      </c>
      <c r="D99" s="96"/>
    </row>
    <row r="100" spans="1:4">
      <c r="A100" s="95" t="s">
        <v>288</v>
      </c>
      <c r="B100" s="96">
        <f>E68</f>
        <v>161</v>
      </c>
      <c r="C100" s="96">
        <v>5</v>
      </c>
      <c r="D100" s="96"/>
    </row>
    <row r="101" spans="1:4">
      <c r="A101" s="95" t="s">
        <v>398</v>
      </c>
      <c r="B101" s="96">
        <v>0</v>
      </c>
      <c r="C101" s="96">
        <v>0</v>
      </c>
      <c r="D101" s="96"/>
    </row>
    <row r="102" spans="1:4">
      <c r="A102" s="95" t="s">
        <v>290</v>
      </c>
      <c r="B102" s="96">
        <f>E82</f>
        <v>365</v>
      </c>
      <c r="C102" s="96">
        <v>3</v>
      </c>
      <c r="D102" s="96"/>
    </row>
    <row r="103" spans="1:4">
      <c r="A103" s="95" t="s">
        <v>399</v>
      </c>
      <c r="B103" s="96">
        <v>0</v>
      </c>
      <c r="C103" s="96">
        <v>0</v>
      </c>
      <c r="D103" s="96"/>
    </row>
    <row r="104" spans="1:4">
      <c r="A104" s="95" t="s">
        <v>400</v>
      </c>
      <c r="B104" s="96">
        <v>0</v>
      </c>
      <c r="C104" s="96">
        <v>0</v>
      </c>
      <c r="D104" s="96"/>
    </row>
    <row r="105" spans="1:4">
      <c r="A105" s="95" t="s">
        <v>400</v>
      </c>
      <c r="B105" s="96">
        <v>0</v>
      </c>
      <c r="C105" s="96">
        <v>0</v>
      </c>
      <c r="D105" s="96"/>
    </row>
    <row r="106" spans="1:4">
      <c r="A106" s="96"/>
      <c r="B106" s="94">
        <f>SUM(B93:B105)</f>
        <v>1100</v>
      </c>
      <c r="C106" s="94">
        <v>20</v>
      </c>
      <c r="D10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E09A-54C1-49E5-93F7-58F2C0B3708E}">
  <dimension ref="A1:U117"/>
  <sheetViews>
    <sheetView topLeftCell="A96" workbookViewId="0"/>
  </sheetViews>
  <sheetFormatPr defaultRowHeight="15"/>
  <cols>
    <col min="1" max="1" width="26.5703125" bestFit="1" customWidth="1"/>
    <col min="2" max="2" width="19.140625" bestFit="1" customWidth="1"/>
    <col min="3" max="3" width="40.42578125" bestFit="1" customWidth="1"/>
    <col min="11" max="11" width="38.42578125" bestFit="1" customWidth="1"/>
    <col min="17" max="17" width="35.42578125" bestFit="1" customWidth="1"/>
    <col min="19" max="19" width="38.7109375" bestFit="1" customWidth="1"/>
  </cols>
  <sheetData>
    <row r="1" spans="1:21">
      <c r="C1" s="252"/>
      <c r="K1" t="s">
        <v>37</v>
      </c>
      <c r="S1" t="s">
        <v>37</v>
      </c>
    </row>
    <row r="2" spans="1:21">
      <c r="A2" t="s">
        <v>168</v>
      </c>
      <c r="B2" t="s">
        <v>32</v>
      </c>
      <c r="C2" t="s">
        <v>497</v>
      </c>
      <c r="I2" t="s">
        <v>168</v>
      </c>
      <c r="J2" t="s">
        <v>33</v>
      </c>
      <c r="K2" t="s">
        <v>498</v>
      </c>
      <c r="Q2" t="s">
        <v>168</v>
      </c>
      <c r="R2" t="s">
        <v>30</v>
      </c>
      <c r="S2" t="s">
        <v>499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206"/>
      <c r="J3" s="207" t="s">
        <v>215</v>
      </c>
      <c r="K3" s="207" t="s">
        <v>216</v>
      </c>
      <c r="L3" s="208" t="s">
        <v>217</v>
      </c>
      <c r="M3" s="207" t="s">
        <v>218</v>
      </c>
      <c r="Q3" s="206"/>
      <c r="R3" s="207" t="s">
        <v>215</v>
      </c>
      <c r="S3" s="207" t="s">
        <v>216</v>
      </c>
      <c r="T3" s="208" t="s">
        <v>217</v>
      </c>
      <c r="U3" s="207" t="s">
        <v>218</v>
      </c>
    </row>
    <row r="4" spans="1:21">
      <c r="A4" s="67" t="s">
        <v>219</v>
      </c>
      <c r="B4" s="68"/>
      <c r="C4" s="69"/>
      <c r="D4" s="70"/>
      <c r="E4" s="71"/>
      <c r="I4" s="209" t="s">
        <v>296</v>
      </c>
      <c r="J4" s="210"/>
      <c r="K4" s="210"/>
      <c r="L4" s="210"/>
      <c r="M4" s="210"/>
      <c r="Q4" s="209" t="s">
        <v>296</v>
      </c>
      <c r="R4" s="210"/>
      <c r="S4" s="210"/>
      <c r="T4" s="210"/>
      <c r="U4" s="210"/>
    </row>
    <row r="5" spans="1:21">
      <c r="A5" s="72" t="s">
        <v>220</v>
      </c>
      <c r="B5" s="111" t="s">
        <v>145</v>
      </c>
      <c r="C5" s="114" t="s">
        <v>500</v>
      </c>
      <c r="D5" s="115" t="s">
        <v>142</v>
      </c>
      <c r="E5" s="107">
        <v>53</v>
      </c>
      <c r="I5" s="211" t="s">
        <v>220</v>
      </c>
      <c r="J5" s="212" t="s">
        <v>145</v>
      </c>
      <c r="K5" s="283" t="s">
        <v>501</v>
      </c>
      <c r="L5" s="212" t="s">
        <v>78</v>
      </c>
      <c r="M5" s="212">
        <v>40</v>
      </c>
      <c r="Q5" s="211" t="s">
        <v>220</v>
      </c>
      <c r="R5" s="212" t="s">
        <v>100</v>
      </c>
      <c r="S5" s="283" t="s">
        <v>502</v>
      </c>
      <c r="T5" s="212" t="s">
        <v>78</v>
      </c>
      <c r="U5" s="212">
        <v>28</v>
      </c>
    </row>
    <row r="6" spans="1:21" ht="30.75">
      <c r="A6" s="72" t="s">
        <v>226</v>
      </c>
      <c r="B6" s="111" t="s">
        <v>124</v>
      </c>
      <c r="C6" s="116" t="s">
        <v>503</v>
      </c>
      <c r="D6" s="117" t="s">
        <v>142</v>
      </c>
      <c r="E6" s="107">
        <v>98</v>
      </c>
      <c r="I6" s="211" t="s">
        <v>226</v>
      </c>
      <c r="J6" s="212" t="s">
        <v>124</v>
      </c>
      <c r="K6" s="284" t="s">
        <v>504</v>
      </c>
      <c r="L6" s="213" t="s">
        <v>78</v>
      </c>
      <c r="M6" s="212">
        <v>142</v>
      </c>
      <c r="Q6" s="211" t="s">
        <v>226</v>
      </c>
      <c r="R6" s="212" t="s">
        <v>145</v>
      </c>
      <c r="S6" s="284" t="s">
        <v>505</v>
      </c>
      <c r="T6" s="213" t="s">
        <v>78</v>
      </c>
      <c r="U6" s="212">
        <v>80</v>
      </c>
    </row>
    <row r="7" spans="1:21" ht="30.75">
      <c r="A7" s="72" t="s">
        <v>232</v>
      </c>
      <c r="B7" s="111" t="s">
        <v>124</v>
      </c>
      <c r="C7" s="116" t="s">
        <v>503</v>
      </c>
      <c r="D7" s="117" t="s">
        <v>142</v>
      </c>
      <c r="E7" s="107">
        <v>98</v>
      </c>
      <c r="I7" s="211" t="s">
        <v>232</v>
      </c>
      <c r="J7" s="212" t="s">
        <v>124</v>
      </c>
      <c r="K7" s="284" t="s">
        <v>504</v>
      </c>
      <c r="L7" s="213" t="s">
        <v>78</v>
      </c>
      <c r="M7" s="212">
        <v>142</v>
      </c>
      <c r="Q7" s="211" t="s">
        <v>232</v>
      </c>
      <c r="R7" s="212" t="s">
        <v>145</v>
      </c>
      <c r="S7" s="284" t="s">
        <v>505</v>
      </c>
      <c r="T7" s="213" t="s">
        <v>78</v>
      </c>
      <c r="U7" s="212">
        <v>80</v>
      </c>
    </row>
    <row r="8" spans="1:21">
      <c r="A8" s="79"/>
      <c r="B8" s="80"/>
      <c r="C8" s="81"/>
      <c r="D8" s="82"/>
      <c r="E8" s="83"/>
      <c r="I8" s="214"/>
      <c r="J8" s="210"/>
      <c r="K8" s="210"/>
      <c r="L8" s="210"/>
      <c r="M8" s="210"/>
      <c r="Q8" s="214"/>
      <c r="R8" s="210"/>
      <c r="S8" s="210"/>
      <c r="T8" s="210"/>
      <c r="U8" s="210"/>
    </row>
    <row r="9" spans="1:21">
      <c r="A9" s="67" t="s">
        <v>234</v>
      </c>
      <c r="B9" s="80"/>
      <c r="C9" s="81"/>
      <c r="D9" s="82"/>
      <c r="E9" s="83"/>
      <c r="I9" s="209" t="s">
        <v>234</v>
      </c>
      <c r="J9" s="210"/>
      <c r="K9" s="210"/>
      <c r="L9" s="210"/>
      <c r="M9" s="210"/>
      <c r="Q9" s="209" t="s">
        <v>234</v>
      </c>
      <c r="R9" s="210"/>
      <c r="S9" s="210"/>
      <c r="T9" s="210"/>
      <c r="U9" s="210"/>
    </row>
    <row r="10" spans="1:21">
      <c r="A10" s="72" t="s">
        <v>303</v>
      </c>
      <c r="B10" s="84" t="s">
        <v>145</v>
      </c>
      <c r="C10" s="336" t="s">
        <v>506</v>
      </c>
      <c r="D10" s="86" t="s">
        <v>142</v>
      </c>
      <c r="E10" s="87">
        <v>84</v>
      </c>
      <c r="I10" s="211" t="s">
        <v>507</v>
      </c>
      <c r="J10" s="216" t="s">
        <v>145</v>
      </c>
      <c r="K10" s="286" t="s">
        <v>508</v>
      </c>
      <c r="L10" s="225" t="s">
        <v>78</v>
      </c>
      <c r="M10" s="216">
        <v>18</v>
      </c>
      <c r="Q10" s="211" t="s">
        <v>303</v>
      </c>
      <c r="R10" s="215"/>
      <c r="S10" s="215"/>
      <c r="T10" s="215"/>
      <c r="U10" s="215"/>
    </row>
    <row r="11" spans="1:21">
      <c r="A11" s="72" t="s">
        <v>303</v>
      </c>
      <c r="B11" s="84"/>
      <c r="C11" s="85"/>
      <c r="D11" s="86"/>
      <c r="E11" s="87"/>
      <c r="I11" s="211" t="s">
        <v>303</v>
      </c>
      <c r="J11" s="215"/>
      <c r="K11" s="215"/>
      <c r="L11" s="215"/>
      <c r="M11" s="215"/>
      <c r="Q11" s="211" t="s">
        <v>303</v>
      </c>
      <c r="R11" s="215"/>
      <c r="S11" s="215"/>
      <c r="T11" s="215"/>
      <c r="U11" s="215"/>
    </row>
    <row r="12" spans="1:21">
      <c r="A12" s="72" t="s">
        <v>305</v>
      </c>
      <c r="B12" s="84"/>
      <c r="C12" s="85"/>
      <c r="D12" s="86"/>
      <c r="E12" s="87"/>
      <c r="I12" s="211" t="s">
        <v>303</v>
      </c>
      <c r="J12" s="215"/>
      <c r="K12" s="215"/>
      <c r="L12" s="215"/>
      <c r="M12" s="215"/>
      <c r="Q12" s="211" t="s">
        <v>305</v>
      </c>
      <c r="R12" s="215"/>
      <c r="S12" s="215"/>
      <c r="T12" s="215"/>
      <c r="U12" s="215"/>
    </row>
    <row r="13" spans="1:21">
      <c r="A13" s="72" t="s">
        <v>306</v>
      </c>
      <c r="B13" s="84" t="s">
        <v>145</v>
      </c>
      <c r="C13" s="85" t="s">
        <v>509</v>
      </c>
      <c r="D13" s="86" t="s">
        <v>142</v>
      </c>
      <c r="E13" s="87">
        <v>86</v>
      </c>
      <c r="I13" s="211" t="s">
        <v>305</v>
      </c>
      <c r="J13" s="215"/>
      <c r="K13" s="215"/>
      <c r="L13" s="215"/>
      <c r="M13" s="215"/>
      <c r="Q13" s="211" t="s">
        <v>306</v>
      </c>
      <c r="R13" s="215"/>
      <c r="S13" s="215"/>
      <c r="T13" s="215"/>
      <c r="U13" s="215"/>
    </row>
    <row r="14" spans="1:21">
      <c r="A14" s="72" t="s">
        <v>309</v>
      </c>
      <c r="B14" s="84"/>
      <c r="C14" s="85"/>
      <c r="D14" s="86"/>
      <c r="E14" s="87"/>
      <c r="I14" s="211" t="s">
        <v>306</v>
      </c>
      <c r="J14" s="215"/>
      <c r="K14" s="215"/>
      <c r="L14" s="215"/>
      <c r="M14" s="215"/>
      <c r="Q14" s="211" t="s">
        <v>309</v>
      </c>
      <c r="R14" s="215"/>
      <c r="S14" s="215"/>
      <c r="T14" s="215"/>
      <c r="U14" s="215"/>
    </row>
    <row r="15" spans="1:21">
      <c r="A15" s="72" t="s">
        <v>309</v>
      </c>
      <c r="B15" s="84"/>
      <c r="C15" s="85"/>
      <c r="D15" s="86"/>
      <c r="E15" s="87"/>
      <c r="I15" s="211" t="s">
        <v>309</v>
      </c>
      <c r="J15" s="215"/>
      <c r="K15" s="215"/>
      <c r="L15" s="215"/>
      <c r="M15" s="215"/>
      <c r="Q15" s="211" t="s">
        <v>309</v>
      </c>
      <c r="R15" s="215"/>
      <c r="S15" s="215"/>
      <c r="T15" s="215"/>
      <c r="U15" s="215"/>
    </row>
    <row r="16" spans="1:21">
      <c r="A16" s="72" t="s">
        <v>310</v>
      </c>
      <c r="B16" s="84" t="s">
        <v>145</v>
      </c>
      <c r="C16" s="85" t="s">
        <v>510</v>
      </c>
      <c r="D16" s="86" t="s">
        <v>142</v>
      </c>
      <c r="E16" s="87">
        <v>52</v>
      </c>
      <c r="I16" s="211" t="s">
        <v>309</v>
      </c>
      <c r="J16" s="215"/>
      <c r="K16" s="215"/>
      <c r="L16" s="215"/>
      <c r="M16" s="215"/>
      <c r="Q16" s="211" t="s">
        <v>310</v>
      </c>
      <c r="R16" s="215"/>
      <c r="S16" s="215"/>
      <c r="T16" s="215"/>
      <c r="U16" s="215"/>
    </row>
    <row r="17" spans="1:21">
      <c r="A17" s="72" t="s">
        <v>235</v>
      </c>
      <c r="B17" s="84" t="s">
        <v>145</v>
      </c>
      <c r="C17" s="85" t="s">
        <v>511</v>
      </c>
      <c r="D17" s="86" t="s">
        <v>142</v>
      </c>
      <c r="E17" s="87">
        <v>45</v>
      </c>
      <c r="I17" s="211" t="s">
        <v>310</v>
      </c>
      <c r="J17" s="215"/>
      <c r="K17" s="215"/>
      <c r="L17" s="215"/>
      <c r="M17" s="215"/>
      <c r="Q17" s="211" t="s">
        <v>235</v>
      </c>
      <c r="R17" s="216" t="s">
        <v>124</v>
      </c>
      <c r="S17" s="285" t="s">
        <v>433</v>
      </c>
      <c r="T17" s="216" t="s">
        <v>78</v>
      </c>
      <c r="U17" s="216">
        <v>33</v>
      </c>
    </row>
    <row r="18" spans="1:21">
      <c r="A18" s="72" t="s">
        <v>240</v>
      </c>
      <c r="B18" s="84" t="s">
        <v>145</v>
      </c>
      <c r="C18" s="85" t="s">
        <v>424</v>
      </c>
      <c r="D18" s="86" t="s">
        <v>142</v>
      </c>
      <c r="E18" s="87">
        <v>14</v>
      </c>
      <c r="I18" s="211" t="s">
        <v>235</v>
      </c>
      <c r="J18" s="216" t="s">
        <v>100</v>
      </c>
      <c r="K18" s="285" t="s">
        <v>512</v>
      </c>
      <c r="L18" s="216" t="s">
        <v>78</v>
      </c>
      <c r="M18" s="216">
        <v>14</v>
      </c>
      <c r="Q18" s="211" t="s">
        <v>240</v>
      </c>
      <c r="R18" s="216" t="s">
        <v>145</v>
      </c>
      <c r="S18" s="285" t="s">
        <v>513</v>
      </c>
      <c r="T18" s="216" t="s">
        <v>78</v>
      </c>
      <c r="U18" s="216">
        <v>68</v>
      </c>
    </row>
    <row r="19" spans="1:21">
      <c r="A19" s="72" t="s">
        <v>240</v>
      </c>
      <c r="B19" s="84"/>
      <c r="C19" s="85"/>
      <c r="D19" s="86"/>
      <c r="E19" s="87"/>
      <c r="I19" s="211" t="s">
        <v>240</v>
      </c>
      <c r="J19" s="215"/>
      <c r="K19" s="215"/>
      <c r="L19" s="215"/>
      <c r="M19" s="215"/>
      <c r="Q19" s="211" t="s">
        <v>240</v>
      </c>
      <c r="R19" s="216" t="s">
        <v>145</v>
      </c>
      <c r="S19" s="285" t="s">
        <v>513</v>
      </c>
      <c r="T19" s="216" t="s">
        <v>78</v>
      </c>
      <c r="U19" s="216">
        <v>68</v>
      </c>
    </row>
    <row r="20" spans="1:21">
      <c r="A20" s="72" t="s">
        <v>240</v>
      </c>
      <c r="B20" s="84"/>
      <c r="C20" s="85"/>
      <c r="D20" s="86"/>
      <c r="E20" s="87"/>
      <c r="I20" s="211" t="s">
        <v>240</v>
      </c>
      <c r="J20" s="216" t="s">
        <v>145</v>
      </c>
      <c r="K20" s="285" t="s">
        <v>514</v>
      </c>
      <c r="L20" s="216" t="s">
        <v>78</v>
      </c>
      <c r="M20" s="216">
        <v>48</v>
      </c>
      <c r="Q20" s="211" t="s">
        <v>240</v>
      </c>
      <c r="R20" s="215"/>
      <c r="S20" s="215"/>
      <c r="T20" s="215"/>
      <c r="U20" s="215"/>
    </row>
    <row r="21" spans="1:21">
      <c r="A21" s="72" t="s">
        <v>240</v>
      </c>
      <c r="B21" s="84"/>
      <c r="C21" s="85"/>
      <c r="D21" s="86"/>
      <c r="E21" s="87"/>
      <c r="I21" s="211" t="s">
        <v>240</v>
      </c>
      <c r="J21" s="216" t="s">
        <v>145</v>
      </c>
      <c r="K21" s="285" t="s">
        <v>514</v>
      </c>
      <c r="L21" s="216" t="s">
        <v>78</v>
      </c>
      <c r="M21" s="216">
        <v>48</v>
      </c>
      <c r="Q21" s="211" t="s">
        <v>240</v>
      </c>
      <c r="R21" s="215"/>
      <c r="S21" s="215"/>
      <c r="T21" s="215"/>
      <c r="U21" s="215"/>
    </row>
    <row r="22" spans="1:21">
      <c r="A22" s="72" t="s">
        <v>240</v>
      </c>
      <c r="B22" s="84"/>
      <c r="C22" s="85"/>
      <c r="D22" s="86"/>
      <c r="E22" s="87"/>
      <c r="I22" s="211" t="s">
        <v>240</v>
      </c>
      <c r="J22" s="215"/>
      <c r="K22" s="215"/>
      <c r="L22" s="215"/>
      <c r="M22" s="215"/>
      <c r="Q22" s="211" t="s">
        <v>240</v>
      </c>
      <c r="R22" s="215"/>
      <c r="S22" s="215"/>
      <c r="T22" s="215"/>
      <c r="U22" s="215"/>
    </row>
    <row r="23" spans="1:21">
      <c r="A23" s="42"/>
      <c r="B23" s="80"/>
      <c r="C23" s="81"/>
      <c r="D23" s="82"/>
      <c r="E23" s="83"/>
      <c r="I23" s="211" t="s">
        <v>240</v>
      </c>
      <c r="J23" s="215"/>
      <c r="K23" s="215"/>
      <c r="L23" s="215"/>
      <c r="M23" s="215"/>
      <c r="Q23" s="214"/>
      <c r="R23" s="210"/>
      <c r="S23" s="210"/>
      <c r="T23" s="210"/>
      <c r="U23" s="210"/>
    </row>
    <row r="24" spans="1:21">
      <c r="A24" s="42"/>
      <c r="B24" s="80"/>
      <c r="C24" s="81"/>
      <c r="D24" s="82"/>
      <c r="E24" s="83"/>
      <c r="I24" s="214"/>
      <c r="J24" s="210"/>
      <c r="K24" s="210"/>
      <c r="L24" s="210"/>
      <c r="M24" s="210"/>
      <c r="Q24" s="214"/>
      <c r="R24" s="210"/>
      <c r="S24" s="210"/>
      <c r="T24" s="210"/>
      <c r="U24" s="210"/>
    </row>
    <row r="25" spans="1:21">
      <c r="A25" s="67" t="s">
        <v>242</v>
      </c>
      <c r="B25" s="84"/>
      <c r="C25" s="85"/>
      <c r="D25" s="86"/>
      <c r="E25" s="87">
        <f>SUM(E5:E22)</f>
        <v>530</v>
      </c>
      <c r="I25" s="214"/>
      <c r="J25" s="210"/>
      <c r="K25" s="210"/>
      <c r="L25" s="210"/>
      <c r="M25" s="210"/>
      <c r="Q25" s="209" t="s">
        <v>242</v>
      </c>
      <c r="R25" s="215"/>
      <c r="S25" s="215"/>
      <c r="T25" s="215"/>
      <c r="U25" s="216">
        <v>357</v>
      </c>
    </row>
    <row r="26" spans="1:21">
      <c r="A26" s="67" t="s">
        <v>243</v>
      </c>
      <c r="B26" s="84"/>
      <c r="C26" s="85"/>
      <c r="D26" s="86"/>
      <c r="E26" s="87">
        <v>8</v>
      </c>
      <c r="I26" s="209" t="s">
        <v>242</v>
      </c>
      <c r="J26" s="215"/>
      <c r="K26" s="215"/>
      <c r="L26" s="215"/>
      <c r="M26" s="216">
        <v>452</v>
      </c>
      <c r="Q26" s="209" t="s">
        <v>318</v>
      </c>
      <c r="R26" s="215"/>
      <c r="S26" s="215"/>
      <c r="T26" s="215"/>
      <c r="U26" s="216">
        <v>6</v>
      </c>
    </row>
    <row r="27" spans="1:21">
      <c r="I27" s="209" t="s">
        <v>318</v>
      </c>
      <c r="J27" s="215"/>
      <c r="K27" s="215"/>
      <c r="L27" s="215"/>
      <c r="M27" s="216">
        <v>7</v>
      </c>
    </row>
    <row r="28" spans="1:21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206"/>
      <c r="J28" s="208" t="s">
        <v>215</v>
      </c>
      <c r="K28" s="207" t="s">
        <v>216</v>
      </c>
      <c r="L28" s="208" t="s">
        <v>217</v>
      </c>
      <c r="M28" s="207" t="s">
        <v>218</v>
      </c>
      <c r="Q28" s="206"/>
      <c r="R28" s="208" t="s">
        <v>215</v>
      </c>
      <c r="S28" s="207" t="s">
        <v>216</v>
      </c>
      <c r="T28" s="208" t="s">
        <v>217</v>
      </c>
      <c r="U28" s="207" t="s">
        <v>218</v>
      </c>
    </row>
    <row r="29" spans="1:21">
      <c r="A29" s="67" t="s">
        <v>219</v>
      </c>
      <c r="B29" s="68"/>
      <c r="C29" s="69"/>
      <c r="D29" s="70"/>
      <c r="E29" s="71"/>
      <c r="I29" s="209" t="s">
        <v>296</v>
      </c>
      <c r="J29" s="210"/>
      <c r="K29" s="210"/>
      <c r="L29" s="210"/>
      <c r="M29" s="210"/>
      <c r="Q29" s="209" t="s">
        <v>296</v>
      </c>
      <c r="R29" s="210"/>
      <c r="S29" s="210"/>
      <c r="T29" s="210"/>
      <c r="U29" s="210"/>
    </row>
    <row r="30" spans="1:21">
      <c r="A30" s="72" t="s">
        <v>220</v>
      </c>
      <c r="B30" s="111" t="s">
        <v>145</v>
      </c>
      <c r="C30" s="114" t="s">
        <v>515</v>
      </c>
      <c r="D30" s="115" t="s">
        <v>142</v>
      </c>
      <c r="E30" s="107">
        <v>53</v>
      </c>
      <c r="I30" s="211" t="s">
        <v>220</v>
      </c>
      <c r="J30" s="212" t="s">
        <v>145</v>
      </c>
      <c r="K30" s="283" t="s">
        <v>501</v>
      </c>
      <c r="L30" s="212" t="s">
        <v>78</v>
      </c>
      <c r="M30" s="212">
        <v>40</v>
      </c>
      <c r="Q30" s="211" t="s">
        <v>220</v>
      </c>
      <c r="R30" s="212" t="s">
        <v>100</v>
      </c>
      <c r="S30" s="283" t="s">
        <v>502</v>
      </c>
      <c r="T30" s="212" t="s">
        <v>78</v>
      </c>
      <c r="U30" s="212">
        <v>28</v>
      </c>
    </row>
    <row r="31" spans="1:21">
      <c r="A31" s="72" t="s">
        <v>226</v>
      </c>
      <c r="B31" s="111" t="s">
        <v>124</v>
      </c>
      <c r="C31" s="116" t="s">
        <v>503</v>
      </c>
      <c r="D31" s="117" t="s">
        <v>142</v>
      </c>
      <c r="E31" s="107">
        <v>98</v>
      </c>
      <c r="I31" s="211" t="s">
        <v>226</v>
      </c>
      <c r="J31" s="212" t="s">
        <v>145</v>
      </c>
      <c r="K31" s="284" t="s">
        <v>516</v>
      </c>
      <c r="L31" s="213" t="s">
        <v>78</v>
      </c>
      <c r="M31" s="212">
        <v>74</v>
      </c>
      <c r="Q31" s="211" t="s">
        <v>226</v>
      </c>
      <c r="R31" s="212" t="s">
        <v>145</v>
      </c>
      <c r="S31" s="284" t="s">
        <v>517</v>
      </c>
      <c r="T31" s="213" t="s">
        <v>78</v>
      </c>
      <c r="U31" s="212">
        <v>70</v>
      </c>
    </row>
    <row r="32" spans="1:21">
      <c r="A32" s="72" t="s">
        <v>232</v>
      </c>
      <c r="B32" s="111" t="s">
        <v>124</v>
      </c>
      <c r="C32" s="116" t="s">
        <v>503</v>
      </c>
      <c r="D32" s="117" t="s">
        <v>142</v>
      </c>
      <c r="E32" s="107">
        <v>98</v>
      </c>
      <c r="I32" s="211" t="s">
        <v>232</v>
      </c>
      <c r="J32" s="212" t="s">
        <v>145</v>
      </c>
      <c r="K32" s="284" t="s">
        <v>516</v>
      </c>
      <c r="L32" s="213" t="s">
        <v>78</v>
      </c>
      <c r="M32" s="212">
        <v>74</v>
      </c>
      <c r="Q32" s="211" t="s">
        <v>232</v>
      </c>
      <c r="R32" s="212" t="s">
        <v>145</v>
      </c>
      <c r="S32" s="284" t="s">
        <v>517</v>
      </c>
      <c r="T32" s="213" t="s">
        <v>78</v>
      </c>
      <c r="U32" s="212">
        <v>70</v>
      </c>
    </row>
    <row r="33" spans="1:21">
      <c r="A33" s="79"/>
      <c r="B33" s="80"/>
      <c r="C33" s="81"/>
      <c r="D33" s="82"/>
      <c r="E33" s="83"/>
      <c r="I33" s="214"/>
      <c r="J33" s="210"/>
      <c r="K33" s="210"/>
      <c r="L33" s="210"/>
      <c r="M33" s="210"/>
      <c r="Q33" s="214"/>
      <c r="R33" s="210"/>
      <c r="S33" s="210"/>
      <c r="T33" s="210"/>
      <c r="U33" s="210"/>
    </row>
    <row r="34" spans="1:21">
      <c r="A34" s="67" t="s">
        <v>234</v>
      </c>
      <c r="B34" s="80"/>
      <c r="C34" s="81"/>
      <c r="D34" s="82"/>
      <c r="E34" s="83"/>
      <c r="I34" s="209" t="s">
        <v>234</v>
      </c>
      <c r="J34" s="210"/>
      <c r="K34" s="210"/>
      <c r="L34" s="210"/>
      <c r="M34" s="210"/>
      <c r="Q34" s="209" t="s">
        <v>234</v>
      </c>
      <c r="R34" s="210"/>
      <c r="S34" s="210"/>
      <c r="T34" s="210"/>
      <c r="U34" s="210"/>
    </row>
    <row r="35" spans="1:21">
      <c r="A35" s="72" t="s">
        <v>303</v>
      </c>
      <c r="B35" s="84"/>
      <c r="C35" s="85"/>
      <c r="D35" s="86"/>
      <c r="E35" s="87"/>
      <c r="I35" s="211" t="s">
        <v>507</v>
      </c>
      <c r="J35" s="216" t="s">
        <v>145</v>
      </c>
      <c r="K35" s="286" t="s">
        <v>508</v>
      </c>
      <c r="L35" s="225" t="s">
        <v>78</v>
      </c>
      <c r="M35" s="216">
        <v>18</v>
      </c>
      <c r="Q35" s="211" t="s">
        <v>303</v>
      </c>
      <c r="R35" s="215"/>
      <c r="S35" s="215"/>
      <c r="T35" s="215"/>
      <c r="U35" s="215"/>
    </row>
    <row r="36" spans="1:21">
      <c r="A36" s="72" t="s">
        <v>303</v>
      </c>
      <c r="B36" s="84"/>
      <c r="C36" s="85"/>
      <c r="D36" s="86"/>
      <c r="E36" s="87"/>
      <c r="I36" s="211" t="s">
        <v>303</v>
      </c>
      <c r="J36" s="215"/>
      <c r="K36" s="215"/>
      <c r="L36" s="215"/>
      <c r="M36" s="215"/>
      <c r="Q36" s="211" t="s">
        <v>303</v>
      </c>
      <c r="R36" s="215"/>
      <c r="S36" s="215"/>
      <c r="T36" s="215"/>
      <c r="U36" s="215"/>
    </row>
    <row r="37" spans="1:21">
      <c r="A37" s="72" t="s">
        <v>305</v>
      </c>
      <c r="B37" s="84"/>
      <c r="C37" s="85"/>
      <c r="D37" s="86"/>
      <c r="E37" s="87"/>
      <c r="I37" s="211" t="s">
        <v>303</v>
      </c>
      <c r="J37" s="215"/>
      <c r="K37" s="215"/>
      <c r="L37" s="215"/>
      <c r="M37" s="215"/>
      <c r="Q37" s="211" t="s">
        <v>305</v>
      </c>
      <c r="R37" s="215"/>
      <c r="S37" s="215"/>
      <c r="T37" s="215"/>
      <c r="U37" s="215"/>
    </row>
    <row r="38" spans="1:21">
      <c r="A38" s="72" t="s">
        <v>306</v>
      </c>
      <c r="B38" s="84" t="s">
        <v>145</v>
      </c>
      <c r="C38" s="85" t="s">
        <v>509</v>
      </c>
      <c r="D38" s="86" t="s">
        <v>142</v>
      </c>
      <c r="E38" s="87">
        <v>86</v>
      </c>
      <c r="I38" s="211" t="s">
        <v>305</v>
      </c>
      <c r="J38" s="215"/>
      <c r="K38" s="215"/>
      <c r="L38" s="215"/>
      <c r="M38" s="215"/>
      <c r="Q38" s="211" t="s">
        <v>306</v>
      </c>
      <c r="R38" s="215"/>
      <c r="S38" s="215"/>
      <c r="T38" s="215"/>
      <c r="U38" s="215"/>
    </row>
    <row r="39" spans="1:21">
      <c r="A39" s="72" t="s">
        <v>309</v>
      </c>
      <c r="B39" s="84"/>
      <c r="C39" s="85"/>
      <c r="D39" s="86"/>
      <c r="E39" s="87"/>
      <c r="I39" s="211" t="s">
        <v>306</v>
      </c>
      <c r="J39" s="215"/>
      <c r="K39" s="215"/>
      <c r="L39" s="215"/>
      <c r="M39" s="215"/>
      <c r="Q39" s="211" t="s">
        <v>309</v>
      </c>
      <c r="R39" s="215"/>
      <c r="S39" s="215"/>
      <c r="T39" s="215"/>
      <c r="U39" s="215"/>
    </row>
    <row r="40" spans="1:21">
      <c r="A40" s="72" t="s">
        <v>309</v>
      </c>
      <c r="B40" s="84"/>
      <c r="C40" s="85"/>
      <c r="D40" s="86"/>
      <c r="E40" s="87"/>
      <c r="I40" s="211" t="s">
        <v>309</v>
      </c>
      <c r="J40" s="215"/>
      <c r="K40" s="215"/>
      <c r="L40" s="215"/>
      <c r="M40" s="215"/>
      <c r="Q40" s="211" t="s">
        <v>309</v>
      </c>
      <c r="R40" s="215"/>
      <c r="S40" s="215"/>
      <c r="T40" s="215"/>
      <c r="U40" s="215"/>
    </row>
    <row r="41" spans="1:21">
      <c r="A41" s="72" t="s">
        <v>375</v>
      </c>
      <c r="B41" s="84"/>
      <c r="C41" s="85"/>
      <c r="D41" s="86"/>
      <c r="E41" s="87"/>
      <c r="I41" s="211" t="s">
        <v>309</v>
      </c>
      <c r="J41" s="215"/>
      <c r="K41" s="215"/>
      <c r="L41" s="215"/>
      <c r="M41" s="215"/>
      <c r="Q41" s="211" t="s">
        <v>375</v>
      </c>
      <c r="R41" s="215"/>
      <c r="S41" s="215"/>
      <c r="T41" s="215"/>
      <c r="U41" s="215"/>
    </row>
    <row r="42" spans="1:21">
      <c r="A42" s="72" t="s">
        <v>235</v>
      </c>
      <c r="B42" s="84" t="s">
        <v>145</v>
      </c>
      <c r="C42" s="85" t="s">
        <v>511</v>
      </c>
      <c r="D42" s="86" t="s">
        <v>142</v>
      </c>
      <c r="E42" s="87">
        <v>45</v>
      </c>
      <c r="I42" s="211" t="s">
        <v>375</v>
      </c>
      <c r="J42" s="215"/>
      <c r="K42" s="215"/>
      <c r="L42" s="215"/>
      <c r="M42" s="215"/>
      <c r="Q42" s="211" t="s">
        <v>235</v>
      </c>
      <c r="R42" s="216" t="s">
        <v>124</v>
      </c>
      <c r="S42" s="285" t="s">
        <v>433</v>
      </c>
      <c r="T42" s="216" t="s">
        <v>78</v>
      </c>
      <c r="U42" s="216">
        <v>33</v>
      </c>
    </row>
    <row r="43" spans="1:21">
      <c r="A43" s="72" t="s">
        <v>240</v>
      </c>
      <c r="B43" s="84" t="s">
        <v>145</v>
      </c>
      <c r="C43" s="85" t="s">
        <v>424</v>
      </c>
      <c r="D43" s="86" t="s">
        <v>142</v>
      </c>
      <c r="E43" s="87">
        <v>14</v>
      </c>
      <c r="I43" s="211" t="s">
        <v>235</v>
      </c>
      <c r="J43" s="216" t="s">
        <v>100</v>
      </c>
      <c r="K43" s="285" t="s">
        <v>512</v>
      </c>
      <c r="L43" s="216" t="s">
        <v>78</v>
      </c>
      <c r="M43" s="216">
        <v>14</v>
      </c>
      <c r="Q43" s="211" t="s">
        <v>240</v>
      </c>
      <c r="R43" s="215"/>
      <c r="S43" s="215"/>
      <c r="T43" s="215"/>
      <c r="U43" s="215"/>
    </row>
    <row r="44" spans="1:21">
      <c r="A44" s="72" t="s">
        <v>240</v>
      </c>
      <c r="B44" s="84"/>
      <c r="C44" s="85"/>
      <c r="D44" s="86"/>
      <c r="E44" s="87"/>
      <c r="I44" s="211" t="s">
        <v>240</v>
      </c>
      <c r="J44" s="215"/>
      <c r="K44" s="215"/>
      <c r="L44" s="215"/>
      <c r="M44" s="215"/>
      <c r="Q44" s="211" t="s">
        <v>240</v>
      </c>
      <c r="R44" s="215"/>
      <c r="S44" s="215"/>
      <c r="T44" s="215"/>
      <c r="U44" s="215"/>
    </row>
    <row r="45" spans="1:21">
      <c r="A45" s="72" t="s">
        <v>240</v>
      </c>
      <c r="B45" s="84"/>
      <c r="C45" s="85"/>
      <c r="D45" s="86"/>
      <c r="E45" s="87"/>
      <c r="I45" s="211" t="s">
        <v>240</v>
      </c>
      <c r="J45" s="215"/>
      <c r="K45" s="215"/>
      <c r="L45" s="215"/>
      <c r="M45" s="215"/>
      <c r="Q45" s="211" t="s">
        <v>240</v>
      </c>
      <c r="R45" s="215"/>
      <c r="S45" s="215"/>
      <c r="T45" s="215"/>
      <c r="U45" s="215"/>
    </row>
    <row r="46" spans="1:21">
      <c r="A46" s="72" t="s">
        <v>240</v>
      </c>
      <c r="B46" s="84"/>
      <c r="C46" s="85"/>
      <c r="D46" s="86"/>
      <c r="E46" s="87"/>
      <c r="I46" s="211" t="s">
        <v>240</v>
      </c>
      <c r="J46" s="215"/>
      <c r="K46" s="215"/>
      <c r="L46" s="215"/>
      <c r="M46" s="215"/>
      <c r="Q46" s="211" t="s">
        <v>240</v>
      </c>
      <c r="R46" s="215"/>
      <c r="S46" s="215"/>
      <c r="T46" s="215"/>
      <c r="U46" s="215"/>
    </row>
    <row r="47" spans="1:21">
      <c r="A47" s="72" t="s">
        <v>240</v>
      </c>
      <c r="B47" s="84"/>
      <c r="C47" s="85"/>
      <c r="D47" s="86"/>
      <c r="E47" s="87"/>
      <c r="I47" s="211" t="s">
        <v>240</v>
      </c>
      <c r="J47" s="215"/>
      <c r="K47" s="215"/>
      <c r="L47" s="215"/>
      <c r="M47" s="215"/>
      <c r="Q47" s="211" t="s">
        <v>240</v>
      </c>
      <c r="R47" s="215"/>
      <c r="S47" s="215"/>
      <c r="T47" s="215"/>
      <c r="U47" s="215"/>
    </row>
    <row r="48" spans="1:21">
      <c r="A48" s="42"/>
      <c r="B48" s="80"/>
      <c r="C48" s="81"/>
      <c r="D48" s="82"/>
      <c r="E48" s="83"/>
      <c r="I48" s="211" t="s">
        <v>240</v>
      </c>
      <c r="J48" s="215"/>
      <c r="K48" s="215"/>
      <c r="L48" s="215"/>
      <c r="M48" s="215"/>
      <c r="Q48" s="214"/>
      <c r="R48" s="210"/>
      <c r="S48" s="210"/>
      <c r="T48" s="210"/>
      <c r="U48" s="210"/>
    </row>
    <row r="49" spans="1:21">
      <c r="A49" s="42"/>
      <c r="B49" s="80"/>
      <c r="C49" s="81"/>
      <c r="D49" s="82"/>
      <c r="E49" s="83"/>
      <c r="I49" s="214"/>
      <c r="J49" s="210"/>
      <c r="K49" s="210"/>
      <c r="L49" s="210"/>
      <c r="M49" s="210"/>
      <c r="Q49" s="214"/>
      <c r="R49" s="210"/>
      <c r="S49" s="210"/>
      <c r="T49" s="210"/>
      <c r="U49" s="210"/>
    </row>
    <row r="50" spans="1:21">
      <c r="A50" s="67" t="s">
        <v>242</v>
      </c>
      <c r="B50" s="84"/>
      <c r="C50" s="85"/>
      <c r="D50" s="86"/>
      <c r="E50" s="87">
        <f>SUM(E30:E47)</f>
        <v>394</v>
      </c>
      <c r="I50" s="214"/>
      <c r="J50" s="210"/>
      <c r="K50" s="210"/>
      <c r="L50" s="210"/>
      <c r="M50" s="210"/>
      <c r="Q50" s="209" t="s">
        <v>242</v>
      </c>
      <c r="R50" s="215"/>
      <c r="S50" s="215"/>
      <c r="T50" s="215"/>
      <c r="U50" s="216">
        <v>201</v>
      </c>
    </row>
    <row r="51" spans="1:21">
      <c r="A51" s="67" t="s">
        <v>243</v>
      </c>
      <c r="B51" s="84"/>
      <c r="C51" s="85"/>
      <c r="D51" s="86"/>
      <c r="E51" s="87">
        <v>6</v>
      </c>
      <c r="I51" s="209" t="s">
        <v>242</v>
      </c>
      <c r="J51" s="215"/>
      <c r="K51" s="215"/>
      <c r="L51" s="215"/>
      <c r="M51" s="216">
        <v>220</v>
      </c>
      <c r="Q51" s="209" t="s">
        <v>318</v>
      </c>
      <c r="R51" s="215"/>
      <c r="S51" s="215"/>
      <c r="T51" s="215"/>
      <c r="U51" s="216">
        <v>4</v>
      </c>
    </row>
    <row r="52" spans="1:21">
      <c r="I52" s="209" t="s">
        <v>318</v>
      </c>
      <c r="J52" s="215"/>
      <c r="K52" s="215"/>
      <c r="L52" s="215"/>
      <c r="M52" s="216">
        <v>5</v>
      </c>
    </row>
    <row r="53" spans="1:21" ht="45.75">
      <c r="A53" s="206"/>
      <c r="B53" s="207" t="s">
        <v>215</v>
      </c>
      <c r="C53" s="217" t="s">
        <v>518</v>
      </c>
      <c r="D53" s="208" t="s">
        <v>217</v>
      </c>
      <c r="E53" s="207" t="s">
        <v>218</v>
      </c>
      <c r="I53" s="206"/>
      <c r="J53" s="207" t="s">
        <v>215</v>
      </c>
      <c r="K53" s="207" t="s">
        <v>216</v>
      </c>
      <c r="L53" s="208" t="s">
        <v>217</v>
      </c>
      <c r="M53" s="207" t="s">
        <v>218</v>
      </c>
      <c r="Q53" s="206"/>
      <c r="R53" s="207" t="s">
        <v>215</v>
      </c>
      <c r="S53" s="207" t="s">
        <v>216</v>
      </c>
      <c r="T53" s="208" t="s">
        <v>217</v>
      </c>
      <c r="U53" s="207" t="s">
        <v>218</v>
      </c>
    </row>
    <row r="54" spans="1:21">
      <c r="A54" s="209" t="s">
        <v>296</v>
      </c>
      <c r="B54" s="210"/>
      <c r="C54" s="210"/>
      <c r="D54" s="210"/>
      <c r="E54" s="210"/>
      <c r="I54" s="209" t="s">
        <v>296</v>
      </c>
      <c r="J54" s="210"/>
      <c r="K54" s="210"/>
      <c r="L54" s="210"/>
      <c r="M54" s="210"/>
      <c r="Q54" s="209" t="s">
        <v>296</v>
      </c>
      <c r="R54" s="210"/>
      <c r="S54" s="210"/>
      <c r="T54" s="210"/>
      <c r="U54" s="210"/>
    </row>
    <row r="55" spans="1:21">
      <c r="A55" s="211" t="s">
        <v>220</v>
      </c>
      <c r="B55" s="212" t="s">
        <v>100</v>
      </c>
      <c r="C55" s="283" t="s">
        <v>519</v>
      </c>
      <c r="D55" s="212" t="s">
        <v>142</v>
      </c>
      <c r="E55" s="212">
        <v>21</v>
      </c>
      <c r="I55" s="211" t="s">
        <v>220</v>
      </c>
      <c r="J55" s="212" t="s">
        <v>145</v>
      </c>
      <c r="K55" s="283" t="s">
        <v>520</v>
      </c>
      <c r="L55" s="212" t="s">
        <v>78</v>
      </c>
      <c r="M55" s="212">
        <v>30</v>
      </c>
      <c r="Q55" s="211" t="s">
        <v>220</v>
      </c>
      <c r="R55" s="212" t="s">
        <v>100</v>
      </c>
      <c r="S55" s="283" t="s">
        <v>502</v>
      </c>
      <c r="T55" s="212" t="s">
        <v>78</v>
      </c>
      <c r="U55" s="212">
        <v>28</v>
      </c>
    </row>
    <row r="56" spans="1:21">
      <c r="A56" s="211" t="s">
        <v>252</v>
      </c>
      <c r="B56" s="212" t="s">
        <v>145</v>
      </c>
      <c r="C56" s="284" t="s">
        <v>518</v>
      </c>
      <c r="D56" s="213" t="s">
        <v>142</v>
      </c>
      <c r="E56" s="212">
        <v>55</v>
      </c>
      <c r="I56" s="211" t="s">
        <v>252</v>
      </c>
      <c r="J56" s="212" t="s">
        <v>145</v>
      </c>
      <c r="K56" s="284" t="s">
        <v>521</v>
      </c>
      <c r="L56" s="213" t="s">
        <v>78</v>
      </c>
      <c r="M56" s="212">
        <v>55</v>
      </c>
      <c r="Q56" s="211" t="s">
        <v>252</v>
      </c>
      <c r="R56" s="212" t="s">
        <v>145</v>
      </c>
      <c r="S56" s="284" t="s">
        <v>522</v>
      </c>
      <c r="T56" s="213" t="s">
        <v>78</v>
      </c>
      <c r="U56" s="212">
        <v>55</v>
      </c>
    </row>
    <row r="57" spans="1:21">
      <c r="A57" s="211" t="s">
        <v>254</v>
      </c>
      <c r="B57" s="212" t="s">
        <v>145</v>
      </c>
      <c r="C57" s="284" t="s">
        <v>518</v>
      </c>
      <c r="D57" s="213" t="s">
        <v>142</v>
      </c>
      <c r="E57" s="212">
        <v>55</v>
      </c>
      <c r="I57" s="211" t="s">
        <v>254</v>
      </c>
      <c r="J57" s="212" t="s">
        <v>145</v>
      </c>
      <c r="K57" s="284" t="s">
        <v>521</v>
      </c>
      <c r="L57" s="213" t="s">
        <v>78</v>
      </c>
      <c r="M57" s="212">
        <v>55</v>
      </c>
      <c r="Q57" s="211" t="s">
        <v>254</v>
      </c>
      <c r="R57" s="212" t="s">
        <v>145</v>
      </c>
      <c r="S57" s="284" t="s">
        <v>522</v>
      </c>
      <c r="T57" s="213" t="s">
        <v>78</v>
      </c>
      <c r="U57" s="212">
        <v>55</v>
      </c>
    </row>
    <row r="58" spans="1:21">
      <c r="A58" s="214"/>
      <c r="B58" s="210"/>
      <c r="C58" s="210"/>
      <c r="D58" s="210"/>
      <c r="E58" s="210"/>
      <c r="I58" s="214"/>
      <c r="J58" s="210"/>
      <c r="K58" s="210"/>
      <c r="L58" s="210"/>
      <c r="M58" s="210"/>
      <c r="Q58" s="214"/>
      <c r="R58" s="210"/>
      <c r="S58" s="210"/>
      <c r="T58" s="210"/>
      <c r="U58" s="210"/>
    </row>
    <row r="59" spans="1:21">
      <c r="A59" s="209" t="s">
        <v>234</v>
      </c>
      <c r="B59" s="210"/>
      <c r="C59" s="210"/>
      <c r="D59" s="210"/>
      <c r="E59" s="210"/>
      <c r="I59" s="209" t="s">
        <v>234</v>
      </c>
      <c r="J59" s="210"/>
      <c r="K59" s="210"/>
      <c r="L59" s="210"/>
      <c r="M59" s="210"/>
      <c r="Q59" s="209" t="s">
        <v>234</v>
      </c>
      <c r="R59" s="210"/>
      <c r="S59" s="210"/>
      <c r="T59" s="210"/>
      <c r="U59" s="210"/>
    </row>
    <row r="60" spans="1:21">
      <c r="A60" s="211" t="s">
        <v>256</v>
      </c>
      <c r="B60" s="216" t="s">
        <v>145</v>
      </c>
      <c r="C60" s="333" t="s">
        <v>511</v>
      </c>
      <c r="D60" s="216" t="s">
        <v>142</v>
      </c>
      <c r="E60" s="216">
        <v>45</v>
      </c>
      <c r="I60" s="211" t="s">
        <v>523</v>
      </c>
      <c r="J60" s="216" t="s">
        <v>145</v>
      </c>
      <c r="K60" s="286" t="s">
        <v>521</v>
      </c>
      <c r="L60" s="225" t="s">
        <v>78</v>
      </c>
      <c r="M60" s="216">
        <v>55</v>
      </c>
      <c r="Q60" s="211" t="s">
        <v>256</v>
      </c>
      <c r="R60" s="216" t="s">
        <v>145</v>
      </c>
      <c r="S60" s="215"/>
      <c r="T60" s="216" t="s">
        <v>78</v>
      </c>
      <c r="U60" s="216">
        <v>45</v>
      </c>
    </row>
    <row r="61" spans="1:21">
      <c r="A61" s="211" t="s">
        <v>256</v>
      </c>
      <c r="B61" s="215"/>
      <c r="C61" s="215"/>
      <c r="D61" s="215"/>
      <c r="E61" s="215"/>
      <c r="I61" s="211" t="s">
        <v>523</v>
      </c>
      <c r="J61" s="215"/>
      <c r="K61" s="215"/>
      <c r="L61" s="215"/>
      <c r="M61" s="215"/>
      <c r="Q61" s="211" t="s">
        <v>256</v>
      </c>
      <c r="R61" s="216" t="s">
        <v>124</v>
      </c>
      <c r="S61" s="285" t="s">
        <v>433</v>
      </c>
      <c r="T61" s="216" t="s">
        <v>78</v>
      </c>
      <c r="U61" s="216">
        <v>33</v>
      </c>
    </row>
    <row r="62" spans="1:21">
      <c r="A62" s="211" t="s">
        <v>256</v>
      </c>
      <c r="B62" s="215"/>
      <c r="C62" s="215"/>
      <c r="D62" s="215"/>
      <c r="E62" s="215"/>
      <c r="I62" s="211" t="s">
        <v>523</v>
      </c>
      <c r="J62" s="215"/>
      <c r="K62" s="215"/>
      <c r="L62" s="215"/>
      <c r="M62" s="215"/>
      <c r="Q62" s="211" t="s">
        <v>256</v>
      </c>
      <c r="R62" s="215"/>
      <c r="S62" s="215"/>
      <c r="T62" s="215"/>
      <c r="U62" s="215"/>
    </row>
    <row r="63" spans="1:21">
      <c r="A63" s="211" t="s">
        <v>271</v>
      </c>
      <c r="B63" s="215"/>
      <c r="C63" s="215"/>
      <c r="D63" s="215"/>
      <c r="E63" s="215"/>
      <c r="I63" s="211" t="s">
        <v>524</v>
      </c>
      <c r="J63" s="216" t="s">
        <v>100</v>
      </c>
      <c r="K63" s="285" t="s">
        <v>512</v>
      </c>
      <c r="L63" s="216" t="s">
        <v>78</v>
      </c>
      <c r="M63" s="216">
        <v>14</v>
      </c>
      <c r="Q63" s="211" t="s">
        <v>271</v>
      </c>
      <c r="R63" s="215"/>
      <c r="S63" s="215"/>
      <c r="T63" s="215"/>
      <c r="U63" s="215"/>
    </row>
    <row r="64" spans="1:21">
      <c r="A64" s="211" t="s">
        <v>271</v>
      </c>
      <c r="B64" s="215"/>
      <c r="C64" s="215"/>
      <c r="D64" s="215"/>
      <c r="E64" s="215"/>
      <c r="I64" s="211" t="s">
        <v>524</v>
      </c>
      <c r="J64" s="216" t="s">
        <v>100</v>
      </c>
      <c r="K64" s="285" t="s">
        <v>512</v>
      </c>
      <c r="L64" s="216" t="s">
        <v>78</v>
      </c>
      <c r="M64" s="216">
        <v>14</v>
      </c>
      <c r="Q64" s="211" t="s">
        <v>271</v>
      </c>
      <c r="R64" s="215"/>
      <c r="S64" s="215"/>
      <c r="T64" s="215"/>
      <c r="U64" s="215"/>
    </row>
    <row r="65" spans="1:21">
      <c r="A65" s="211" t="s">
        <v>271</v>
      </c>
      <c r="B65" s="215"/>
      <c r="C65" s="215"/>
      <c r="D65" s="215"/>
      <c r="E65" s="215"/>
      <c r="I65" s="211" t="s">
        <v>524</v>
      </c>
      <c r="J65" s="216" t="s">
        <v>100</v>
      </c>
      <c r="K65" s="285" t="s">
        <v>512</v>
      </c>
      <c r="L65" s="216" t="s">
        <v>78</v>
      </c>
      <c r="M65" s="216">
        <v>14</v>
      </c>
      <c r="Q65" s="211" t="s">
        <v>271</v>
      </c>
      <c r="R65" s="215"/>
      <c r="S65" s="215"/>
      <c r="T65" s="215"/>
      <c r="U65" s="215"/>
    </row>
    <row r="66" spans="1:21">
      <c r="A66" s="211" t="s">
        <v>271</v>
      </c>
      <c r="B66" s="215"/>
      <c r="C66" s="215"/>
      <c r="D66" s="215"/>
      <c r="E66" s="215"/>
      <c r="I66" s="211" t="s">
        <v>271</v>
      </c>
      <c r="J66" s="215"/>
      <c r="K66" s="215"/>
      <c r="L66" s="215"/>
      <c r="M66" s="215"/>
      <c r="Q66" s="211" t="s">
        <v>271</v>
      </c>
      <c r="R66" s="215"/>
      <c r="S66" s="215"/>
      <c r="T66" s="215"/>
      <c r="U66" s="215"/>
    </row>
    <row r="67" spans="1:21">
      <c r="A67" s="211" t="s">
        <v>271</v>
      </c>
      <c r="B67" s="215"/>
      <c r="C67" s="215"/>
      <c r="D67" s="215"/>
      <c r="E67" s="215"/>
      <c r="I67" s="211" t="s">
        <v>271</v>
      </c>
      <c r="J67" s="215"/>
      <c r="K67" s="215"/>
      <c r="L67" s="215"/>
      <c r="M67" s="215"/>
      <c r="Q67" s="211" t="s">
        <v>271</v>
      </c>
      <c r="R67" s="215"/>
      <c r="S67" s="215"/>
      <c r="T67" s="215"/>
      <c r="U67" s="215"/>
    </row>
    <row r="68" spans="1:21">
      <c r="A68" s="214"/>
      <c r="B68" s="210"/>
      <c r="C68" s="210"/>
      <c r="D68" s="210"/>
      <c r="E68" s="210"/>
      <c r="I68" s="211" t="s">
        <v>271</v>
      </c>
      <c r="J68" s="215"/>
      <c r="K68" s="215"/>
      <c r="L68" s="215"/>
      <c r="M68" s="215"/>
      <c r="Q68" s="214"/>
      <c r="R68" s="210"/>
      <c r="S68" s="210"/>
      <c r="T68" s="210"/>
      <c r="U68" s="210"/>
    </row>
    <row r="69" spans="1:21">
      <c r="A69" s="214"/>
      <c r="B69" s="210"/>
      <c r="C69" s="210"/>
      <c r="D69" s="210"/>
      <c r="E69" s="210"/>
      <c r="I69" s="211" t="s">
        <v>271</v>
      </c>
      <c r="J69" s="215"/>
      <c r="K69" s="215"/>
      <c r="L69" s="215"/>
      <c r="M69" s="215"/>
      <c r="Q69" s="214"/>
      <c r="R69" s="210"/>
      <c r="S69" s="210"/>
      <c r="T69" s="210"/>
      <c r="U69" s="210"/>
    </row>
    <row r="70" spans="1:21">
      <c r="A70" s="209" t="s">
        <v>242</v>
      </c>
      <c r="B70" s="215"/>
      <c r="C70" s="215"/>
      <c r="D70" s="215"/>
      <c r="E70" s="216">
        <f>SUM(E55:E67)</f>
        <v>176</v>
      </c>
      <c r="I70" s="211" t="s">
        <v>271</v>
      </c>
      <c r="J70" s="215"/>
      <c r="K70" s="215"/>
      <c r="L70" s="215"/>
      <c r="M70" s="215"/>
      <c r="Q70" s="209" t="s">
        <v>242</v>
      </c>
      <c r="R70" s="215"/>
      <c r="S70" s="215"/>
      <c r="T70" s="215"/>
      <c r="U70" s="216">
        <v>216</v>
      </c>
    </row>
    <row r="71" spans="1:21">
      <c r="A71" s="209" t="s">
        <v>318</v>
      </c>
      <c r="B71" s="215"/>
      <c r="C71" s="215"/>
      <c r="D71" s="215"/>
      <c r="E71" s="216">
        <v>4</v>
      </c>
      <c r="I71" s="214"/>
      <c r="J71" s="210"/>
      <c r="K71" s="210"/>
      <c r="L71" s="210"/>
      <c r="M71" s="210"/>
      <c r="Q71" s="209" t="s">
        <v>318</v>
      </c>
      <c r="R71" s="215"/>
      <c r="S71" s="215"/>
      <c r="T71" s="215"/>
      <c r="U71" s="216">
        <v>5</v>
      </c>
    </row>
    <row r="72" spans="1:21">
      <c r="I72" s="214"/>
      <c r="J72" s="210"/>
      <c r="K72" s="210"/>
      <c r="L72" s="210"/>
      <c r="M72" s="210"/>
    </row>
    <row r="73" spans="1:21">
      <c r="A73" s="42"/>
      <c r="B73" s="43"/>
      <c r="C73" s="85"/>
      <c r="D73" s="66"/>
      <c r="E73" s="45"/>
      <c r="I73" s="209" t="s">
        <v>242</v>
      </c>
      <c r="J73" s="215"/>
      <c r="K73" s="215"/>
      <c r="L73" s="215"/>
      <c r="M73" s="216">
        <v>237</v>
      </c>
    </row>
    <row r="74" spans="1:21">
      <c r="A74" s="67"/>
      <c r="B74" s="68"/>
      <c r="C74" s="69"/>
      <c r="D74" s="70"/>
      <c r="E74" s="71"/>
      <c r="I74" s="209" t="s">
        <v>318</v>
      </c>
      <c r="J74" s="215"/>
      <c r="K74" s="215"/>
      <c r="L74" s="215"/>
      <c r="M74" s="216">
        <v>7</v>
      </c>
    </row>
    <row r="75" spans="1:21">
      <c r="A75" s="72"/>
      <c r="B75" s="111"/>
      <c r="C75" s="114"/>
      <c r="D75" s="115"/>
      <c r="E75" s="107"/>
    </row>
    <row r="76" spans="1:21" ht="45.75">
      <c r="A76" s="72"/>
      <c r="B76" s="111"/>
      <c r="C76" s="116"/>
      <c r="D76" s="117"/>
      <c r="E76" s="107"/>
      <c r="I76" s="206"/>
      <c r="J76" s="207" t="s">
        <v>215</v>
      </c>
      <c r="K76" s="207" t="s">
        <v>216</v>
      </c>
      <c r="L76" s="208" t="s">
        <v>217</v>
      </c>
      <c r="M76" s="207" t="s">
        <v>218</v>
      </c>
      <c r="Q76" s="206"/>
      <c r="R76" s="207" t="s">
        <v>215</v>
      </c>
      <c r="S76" s="207" t="s">
        <v>216</v>
      </c>
      <c r="T76" s="208" t="s">
        <v>217</v>
      </c>
      <c r="U76" s="207" t="s">
        <v>218</v>
      </c>
    </row>
    <row r="77" spans="1:21">
      <c r="A77" s="72"/>
      <c r="B77" s="111"/>
      <c r="C77" s="116"/>
      <c r="D77" s="117"/>
      <c r="E77" s="107"/>
      <c r="I77" s="209" t="s">
        <v>296</v>
      </c>
      <c r="J77" s="210"/>
      <c r="K77" s="210"/>
      <c r="L77" s="210"/>
      <c r="M77" s="210"/>
      <c r="Q77" s="209" t="s">
        <v>296</v>
      </c>
      <c r="R77" s="210"/>
      <c r="S77" s="210"/>
      <c r="T77" s="210"/>
      <c r="U77" s="210"/>
    </row>
    <row r="78" spans="1:21" ht="244.5">
      <c r="A78" s="79"/>
      <c r="B78" s="80"/>
      <c r="C78" s="81"/>
      <c r="D78" s="82"/>
      <c r="E78" s="83"/>
      <c r="I78" s="226" t="s">
        <v>259</v>
      </c>
      <c r="J78" s="212" t="s">
        <v>145</v>
      </c>
      <c r="K78" s="283" t="s">
        <v>525</v>
      </c>
      <c r="L78" s="212" t="s">
        <v>78</v>
      </c>
      <c r="M78" s="212">
        <v>100</v>
      </c>
      <c r="Q78" s="226" t="s">
        <v>259</v>
      </c>
      <c r="R78" s="212" t="s">
        <v>145</v>
      </c>
      <c r="S78" s="283" t="s">
        <v>526</v>
      </c>
      <c r="T78" s="212" t="s">
        <v>78</v>
      </c>
      <c r="U78" s="212">
        <v>115</v>
      </c>
    </row>
    <row r="79" spans="1:21" ht="198">
      <c r="A79" s="67"/>
      <c r="B79" s="80"/>
      <c r="C79" s="81"/>
      <c r="D79" s="82"/>
      <c r="E79" s="83"/>
      <c r="I79" s="226" t="s">
        <v>261</v>
      </c>
      <c r="J79" s="212" t="s">
        <v>145</v>
      </c>
      <c r="K79" s="283" t="s">
        <v>527</v>
      </c>
      <c r="L79" s="213" t="s">
        <v>78</v>
      </c>
      <c r="M79" s="212">
        <v>90</v>
      </c>
      <c r="Q79" s="226" t="s">
        <v>261</v>
      </c>
      <c r="R79" s="212" t="s">
        <v>145</v>
      </c>
      <c r="S79" s="284" t="s">
        <v>528</v>
      </c>
      <c r="T79" s="213" t="s">
        <v>78</v>
      </c>
      <c r="U79" s="212">
        <v>105</v>
      </c>
    </row>
    <row r="80" spans="1:21">
      <c r="A80" s="72"/>
      <c r="B80" s="84"/>
      <c r="C80" s="85"/>
      <c r="D80" s="86"/>
      <c r="E80" s="87"/>
      <c r="I80" s="214"/>
      <c r="J80" s="210"/>
      <c r="K80" s="210"/>
      <c r="L80" s="210"/>
      <c r="M80" s="210"/>
      <c r="Q80" s="214"/>
      <c r="R80" s="210"/>
      <c r="S80" s="210"/>
      <c r="T80" s="210"/>
      <c r="U80" s="210"/>
    </row>
    <row r="81" spans="1:21">
      <c r="A81" s="72"/>
      <c r="B81" s="84"/>
      <c r="C81" s="85"/>
      <c r="D81" s="86"/>
      <c r="E81" s="87"/>
      <c r="I81" s="209" t="s">
        <v>234</v>
      </c>
      <c r="J81" s="210"/>
      <c r="K81" s="210"/>
      <c r="L81" s="210"/>
      <c r="M81" s="210"/>
      <c r="Q81" s="209" t="s">
        <v>234</v>
      </c>
      <c r="R81" s="210"/>
      <c r="S81" s="210"/>
      <c r="T81" s="210"/>
      <c r="U81" s="210"/>
    </row>
    <row r="82" spans="1:21" ht="26.25" customHeight="1">
      <c r="A82" s="72"/>
      <c r="B82" s="84"/>
      <c r="C82" s="85"/>
      <c r="D82" s="86"/>
      <c r="E82" s="87"/>
      <c r="I82" s="226" t="s">
        <v>261</v>
      </c>
      <c r="J82" s="215"/>
      <c r="K82" s="215"/>
      <c r="L82" s="215"/>
      <c r="M82" s="215"/>
      <c r="Q82" s="226" t="s">
        <v>261</v>
      </c>
      <c r="R82" s="216" t="s">
        <v>145</v>
      </c>
      <c r="S82" s="285" t="s">
        <v>528</v>
      </c>
      <c r="T82" s="216" t="s">
        <v>78</v>
      </c>
      <c r="U82" s="216">
        <v>105</v>
      </c>
    </row>
    <row r="83" spans="1:21" ht="28.5" customHeight="1">
      <c r="A83" s="72"/>
      <c r="B83" s="84"/>
      <c r="C83" s="85"/>
      <c r="D83" s="86"/>
      <c r="E83" s="87"/>
      <c r="I83" s="226" t="s">
        <v>261</v>
      </c>
      <c r="J83" s="215"/>
      <c r="K83" s="215"/>
      <c r="L83" s="215"/>
      <c r="M83" s="215"/>
      <c r="Q83" s="226" t="s">
        <v>261</v>
      </c>
      <c r="R83" s="215"/>
      <c r="S83" s="215"/>
      <c r="T83" s="215"/>
      <c r="U83" s="215"/>
    </row>
    <row r="84" spans="1:21" ht="20.25" customHeight="1">
      <c r="A84" s="72"/>
      <c r="B84" s="84"/>
      <c r="C84" s="85"/>
      <c r="D84" s="86"/>
      <c r="E84" s="87"/>
      <c r="I84" s="226" t="s">
        <v>261</v>
      </c>
      <c r="J84" s="215"/>
      <c r="K84" s="215"/>
      <c r="L84" s="215"/>
      <c r="M84" s="215"/>
      <c r="Q84" s="226" t="s">
        <v>261</v>
      </c>
      <c r="R84" s="215"/>
      <c r="S84" s="215"/>
      <c r="T84" s="215"/>
      <c r="U84" s="215"/>
    </row>
    <row r="85" spans="1:21">
      <c r="A85" s="72"/>
      <c r="B85" s="84"/>
      <c r="C85" s="85"/>
      <c r="D85" s="86"/>
      <c r="E85" s="87"/>
      <c r="I85" s="214"/>
      <c r="J85" s="210"/>
      <c r="K85" s="210"/>
      <c r="L85" s="210"/>
      <c r="M85" s="210"/>
      <c r="Q85" s="214"/>
      <c r="R85" s="210"/>
      <c r="S85" s="210"/>
      <c r="T85" s="210"/>
      <c r="U85" s="210"/>
    </row>
    <row r="86" spans="1:21">
      <c r="A86" s="72"/>
      <c r="B86" s="84"/>
      <c r="C86" s="85"/>
      <c r="D86" s="86"/>
      <c r="E86" s="87"/>
      <c r="I86" s="214"/>
      <c r="J86" s="210"/>
      <c r="K86" s="210"/>
      <c r="L86" s="210"/>
      <c r="M86" s="210"/>
      <c r="Q86" s="214"/>
      <c r="R86" s="210"/>
      <c r="S86" s="210"/>
      <c r="T86" s="210"/>
      <c r="U86" s="210"/>
    </row>
    <row r="87" spans="1:21">
      <c r="A87" s="72"/>
      <c r="B87" s="84"/>
      <c r="C87" s="85"/>
      <c r="D87" s="86"/>
      <c r="E87" s="87"/>
      <c r="I87" s="209" t="s">
        <v>242</v>
      </c>
      <c r="J87" s="215"/>
      <c r="K87" s="215"/>
      <c r="L87" s="215"/>
      <c r="M87" s="216">
        <v>190</v>
      </c>
      <c r="Q87" s="209" t="s">
        <v>242</v>
      </c>
      <c r="R87" s="215"/>
      <c r="S87" s="215"/>
      <c r="T87" s="215"/>
      <c r="U87" s="216">
        <v>325</v>
      </c>
    </row>
    <row r="88" spans="1:21">
      <c r="A88" s="42"/>
      <c r="B88" s="80"/>
      <c r="C88" s="81"/>
      <c r="D88" s="82"/>
      <c r="E88" s="83"/>
      <c r="I88" s="209" t="s">
        <v>318</v>
      </c>
      <c r="J88" s="215"/>
      <c r="K88" s="215"/>
      <c r="L88" s="215"/>
      <c r="M88" s="216">
        <v>2</v>
      </c>
      <c r="Q88" s="209" t="s">
        <v>318</v>
      </c>
      <c r="R88" s="215"/>
      <c r="S88" s="215"/>
      <c r="T88" s="215"/>
      <c r="U88" s="216">
        <v>3</v>
      </c>
    </row>
    <row r="89" spans="1:21">
      <c r="A89" s="42"/>
      <c r="B89" s="80"/>
      <c r="C89" s="81"/>
      <c r="D89" s="82"/>
      <c r="E89" s="83"/>
    </row>
    <row r="90" spans="1:21">
      <c r="A90" s="67"/>
      <c r="B90" s="84"/>
      <c r="C90" s="85"/>
      <c r="D90" s="86"/>
      <c r="E90" s="87"/>
    </row>
    <row r="91" spans="1:21">
      <c r="A91" s="67"/>
      <c r="B91" s="84"/>
      <c r="C91" s="85"/>
      <c r="D91" s="86"/>
      <c r="E91" s="87"/>
      <c r="I91" s="218"/>
      <c r="J91" s="219"/>
      <c r="K91" s="208" t="s">
        <v>336</v>
      </c>
      <c r="L91" s="220"/>
      <c r="Q91" s="218"/>
      <c r="R91" s="219"/>
      <c r="S91" s="208" t="s">
        <v>336</v>
      </c>
      <c r="T91" s="220"/>
    </row>
    <row r="92" spans="1:21">
      <c r="A92" s="223"/>
      <c r="B92" s="215"/>
      <c r="C92" s="215"/>
      <c r="D92" s="215"/>
      <c r="I92" s="209" t="s">
        <v>275</v>
      </c>
      <c r="J92" s="212" t="s">
        <v>46</v>
      </c>
      <c r="K92" s="210"/>
      <c r="L92" s="221"/>
      <c r="Q92" s="209" t="s">
        <v>275</v>
      </c>
      <c r="R92" s="212" t="s">
        <v>46</v>
      </c>
      <c r="S92" s="210"/>
      <c r="T92" s="221"/>
    </row>
    <row r="93" spans="1:21">
      <c r="A93" s="223"/>
      <c r="B93" s="215"/>
      <c r="C93" s="215"/>
      <c r="D93" s="215"/>
      <c r="I93" s="209" t="s">
        <v>529</v>
      </c>
      <c r="J93" s="212" t="s">
        <v>498</v>
      </c>
      <c r="K93" s="210"/>
      <c r="L93" s="221"/>
      <c r="Q93" s="209" t="s">
        <v>529</v>
      </c>
      <c r="R93" s="212" t="s">
        <v>498</v>
      </c>
      <c r="S93" s="210"/>
      <c r="T93" s="221"/>
    </row>
    <row r="94" spans="1:21">
      <c r="A94" s="223"/>
      <c r="B94" s="224"/>
      <c r="C94" s="224"/>
      <c r="D94" s="215"/>
      <c r="I94" s="209" t="s">
        <v>278</v>
      </c>
      <c r="J94" s="212">
        <v>2</v>
      </c>
      <c r="K94" s="210"/>
      <c r="L94" s="221"/>
      <c r="Q94" s="209" t="s">
        <v>278</v>
      </c>
      <c r="R94" s="212">
        <v>2</v>
      </c>
      <c r="S94" s="210"/>
      <c r="T94" s="221"/>
    </row>
    <row r="95" spans="1:21">
      <c r="I95" s="209" t="s">
        <v>282</v>
      </c>
      <c r="J95" s="212" t="s">
        <v>33</v>
      </c>
      <c r="K95" s="210"/>
      <c r="L95" s="221"/>
      <c r="Q95" s="209" t="s">
        <v>282</v>
      </c>
      <c r="R95" s="212" t="s">
        <v>33</v>
      </c>
      <c r="S95" s="210"/>
      <c r="T95" s="221"/>
    </row>
    <row r="96" spans="1:21">
      <c r="A96" s="90"/>
      <c r="B96" s="91"/>
      <c r="C96" s="92" t="s">
        <v>274</v>
      </c>
      <c r="D96" s="103"/>
      <c r="I96" s="214"/>
      <c r="J96" s="210"/>
      <c r="K96" s="210"/>
      <c r="L96" s="221"/>
      <c r="Q96" s="214"/>
      <c r="R96" s="210"/>
      <c r="S96" s="210"/>
      <c r="T96" s="221"/>
    </row>
    <row r="97" spans="1:20">
      <c r="A97" s="67" t="s">
        <v>275</v>
      </c>
      <c r="B97" s="111" t="s">
        <v>46</v>
      </c>
      <c r="C97" s="81"/>
      <c r="D97" s="103"/>
      <c r="I97" s="222" t="s">
        <v>284</v>
      </c>
      <c r="J97" s="215"/>
      <c r="K97" s="215"/>
      <c r="L97" s="215"/>
      <c r="Q97" s="222" t="s">
        <v>284</v>
      </c>
      <c r="R97" s="215"/>
      <c r="S97" s="215"/>
      <c r="T97" s="215"/>
    </row>
    <row r="98" spans="1:20">
      <c r="A98" s="67" t="s">
        <v>277</v>
      </c>
      <c r="B98" s="111" t="s">
        <v>530</v>
      </c>
      <c r="C98" s="81"/>
      <c r="D98" s="103"/>
      <c r="I98" s="223"/>
      <c r="J98" s="224" t="s">
        <v>339</v>
      </c>
      <c r="K98" s="224" t="s">
        <v>15</v>
      </c>
      <c r="L98" s="224" t="s">
        <v>5</v>
      </c>
      <c r="Q98" s="223"/>
      <c r="R98" s="224" t="s">
        <v>339</v>
      </c>
      <c r="S98" s="224" t="s">
        <v>15</v>
      </c>
      <c r="T98" s="224" t="s">
        <v>5</v>
      </c>
    </row>
    <row r="99" spans="1:20">
      <c r="A99" s="67" t="s">
        <v>278</v>
      </c>
      <c r="B99" s="111">
        <v>1</v>
      </c>
      <c r="C99" s="81"/>
      <c r="D99" s="103"/>
      <c r="I99" s="223" t="s">
        <v>393</v>
      </c>
      <c r="J99" s="215">
        <v>0</v>
      </c>
      <c r="K99" s="215">
        <v>0</v>
      </c>
      <c r="L99" s="215"/>
      <c r="Q99" s="223" t="s">
        <v>393</v>
      </c>
      <c r="R99" s="215">
        <v>0</v>
      </c>
      <c r="S99" s="215">
        <v>0</v>
      </c>
      <c r="T99" s="215"/>
    </row>
    <row r="100" spans="1:20">
      <c r="A100" s="67" t="s">
        <v>282</v>
      </c>
      <c r="B100" s="111" t="s">
        <v>32</v>
      </c>
      <c r="C100" s="81"/>
      <c r="D100" s="103"/>
      <c r="I100" s="223" t="s">
        <v>286</v>
      </c>
      <c r="J100" s="215">
        <v>452</v>
      </c>
      <c r="K100" s="215">
        <v>7</v>
      </c>
      <c r="L100" s="215"/>
      <c r="Q100" s="223" t="s">
        <v>286</v>
      </c>
      <c r="R100" s="215">
        <f>U25</f>
        <v>357</v>
      </c>
      <c r="S100" s="215">
        <v>7</v>
      </c>
      <c r="T100" s="215"/>
    </row>
    <row r="101" spans="1:20">
      <c r="A101" s="93"/>
      <c r="B101" s="80"/>
      <c r="C101" s="81"/>
      <c r="D101" s="103"/>
      <c r="I101" s="223" t="s">
        <v>287</v>
      </c>
      <c r="J101" s="215">
        <v>220</v>
      </c>
      <c r="K101" s="215">
        <v>5</v>
      </c>
      <c r="L101" s="215"/>
      <c r="Q101" s="223" t="s">
        <v>287</v>
      </c>
      <c r="R101" s="215">
        <f>U50</f>
        <v>201</v>
      </c>
      <c r="S101" s="215">
        <v>5</v>
      </c>
      <c r="T101" s="215"/>
    </row>
    <row r="102" spans="1:20">
      <c r="A102" s="112" t="s">
        <v>284</v>
      </c>
      <c r="B102" s="112"/>
      <c r="C102" s="112"/>
      <c r="D102" s="103"/>
      <c r="I102" s="223" t="s">
        <v>289</v>
      </c>
      <c r="J102" s="215">
        <v>237</v>
      </c>
      <c r="K102" s="215">
        <v>7</v>
      </c>
      <c r="L102" s="215"/>
      <c r="Q102" s="223" t="s">
        <v>289</v>
      </c>
      <c r="R102" s="215">
        <f>U70</f>
        <v>216</v>
      </c>
      <c r="S102" s="215">
        <v>7</v>
      </c>
      <c r="T102" s="215"/>
    </row>
    <row r="103" spans="1:20">
      <c r="A103" s="112"/>
      <c r="B103" s="112" t="s">
        <v>285</v>
      </c>
      <c r="C103" s="112" t="s">
        <v>15</v>
      </c>
      <c r="D103" s="112" t="s">
        <v>5</v>
      </c>
      <c r="I103" s="223" t="s">
        <v>396</v>
      </c>
      <c r="J103" s="215">
        <v>0</v>
      </c>
      <c r="K103" s="215">
        <v>0</v>
      </c>
      <c r="L103" s="215"/>
      <c r="Q103" s="223" t="s">
        <v>396</v>
      </c>
      <c r="R103" s="215">
        <v>0</v>
      </c>
      <c r="S103" s="215">
        <v>0</v>
      </c>
      <c r="T103" s="215"/>
    </row>
    <row r="104" spans="1:20">
      <c r="A104" s="113" t="s">
        <v>393</v>
      </c>
      <c r="B104" s="113">
        <v>0</v>
      </c>
      <c r="C104" s="113">
        <v>0</v>
      </c>
      <c r="D104" s="113"/>
      <c r="I104" s="223" t="s">
        <v>397</v>
      </c>
      <c r="J104" s="215">
        <v>0</v>
      </c>
      <c r="K104" s="215">
        <v>0</v>
      </c>
      <c r="L104" s="215"/>
      <c r="Q104" s="223" t="s">
        <v>397</v>
      </c>
      <c r="R104" s="215">
        <v>0</v>
      </c>
      <c r="S104" s="215">
        <v>0</v>
      </c>
      <c r="T104" s="215"/>
    </row>
    <row r="105" spans="1:20">
      <c r="A105" s="113" t="s">
        <v>286</v>
      </c>
      <c r="B105" s="113">
        <f>E25</f>
        <v>530</v>
      </c>
      <c r="C105" s="113">
        <v>8</v>
      </c>
      <c r="D105" s="113"/>
      <c r="I105" s="223" t="s">
        <v>291</v>
      </c>
      <c r="J105" s="215">
        <v>0</v>
      </c>
      <c r="K105" s="215">
        <v>0</v>
      </c>
      <c r="L105" s="215"/>
      <c r="Q105" s="223" t="s">
        <v>291</v>
      </c>
      <c r="R105" s="215">
        <v>0</v>
      </c>
      <c r="S105" s="215">
        <v>0</v>
      </c>
      <c r="T105" s="215"/>
    </row>
    <row r="106" spans="1:20">
      <c r="A106" s="113" t="s">
        <v>287</v>
      </c>
      <c r="B106" s="113">
        <f>E50</f>
        <v>394</v>
      </c>
      <c r="C106" s="113">
        <v>6</v>
      </c>
      <c r="D106" s="113"/>
      <c r="I106" s="223" t="s">
        <v>288</v>
      </c>
      <c r="J106" s="215">
        <v>0</v>
      </c>
      <c r="K106" s="215">
        <v>0</v>
      </c>
      <c r="L106" s="215"/>
      <c r="Q106" s="223" t="s">
        <v>288</v>
      </c>
      <c r="R106" s="215">
        <v>0</v>
      </c>
      <c r="S106" s="215">
        <v>0</v>
      </c>
      <c r="T106" s="215"/>
    </row>
    <row r="107" spans="1:20">
      <c r="A107" s="113" t="s">
        <v>289</v>
      </c>
      <c r="B107" s="113">
        <f>E70</f>
        <v>176</v>
      </c>
      <c r="C107" s="113">
        <v>4</v>
      </c>
      <c r="D107" s="113"/>
      <c r="I107" s="223" t="s">
        <v>398</v>
      </c>
      <c r="J107" s="215">
        <v>0</v>
      </c>
      <c r="K107" s="215">
        <v>0</v>
      </c>
      <c r="L107" s="215"/>
      <c r="Q107" s="223" t="s">
        <v>398</v>
      </c>
      <c r="R107" s="215">
        <v>0</v>
      </c>
      <c r="S107" s="215">
        <v>0</v>
      </c>
      <c r="T107" s="215"/>
    </row>
    <row r="108" spans="1:20">
      <c r="A108" s="113" t="s">
        <v>396</v>
      </c>
      <c r="B108" s="113">
        <v>0</v>
      </c>
      <c r="C108" s="113">
        <v>0</v>
      </c>
      <c r="D108" s="113"/>
      <c r="I108" s="223" t="s">
        <v>290</v>
      </c>
      <c r="J108" s="215">
        <v>190</v>
      </c>
      <c r="K108" s="215">
        <v>2</v>
      </c>
      <c r="L108" s="215"/>
      <c r="Q108" s="223" t="s">
        <v>290</v>
      </c>
      <c r="R108" s="215">
        <f>U87</f>
        <v>325</v>
      </c>
      <c r="S108" s="215">
        <v>2</v>
      </c>
      <c r="T108" s="215"/>
    </row>
    <row r="109" spans="1:20">
      <c r="A109" s="113" t="s">
        <v>397</v>
      </c>
      <c r="B109" s="113">
        <v>0</v>
      </c>
      <c r="C109" s="113">
        <v>0</v>
      </c>
      <c r="D109" s="113"/>
      <c r="I109" s="223" t="s">
        <v>399</v>
      </c>
      <c r="J109" s="215">
        <v>0</v>
      </c>
      <c r="K109" s="215">
        <v>0</v>
      </c>
      <c r="L109" s="215"/>
      <c r="Q109" s="223" t="s">
        <v>399</v>
      </c>
      <c r="R109" s="215">
        <v>0</v>
      </c>
      <c r="S109" s="215">
        <v>0</v>
      </c>
      <c r="T109" s="215"/>
    </row>
    <row r="110" spans="1:20">
      <c r="A110" s="113" t="s">
        <v>291</v>
      </c>
      <c r="B110" s="113">
        <v>0</v>
      </c>
      <c r="C110" s="113">
        <v>0</v>
      </c>
      <c r="D110" s="113"/>
      <c r="I110" s="223" t="s">
        <v>400</v>
      </c>
      <c r="J110" s="215">
        <v>0</v>
      </c>
      <c r="K110" s="215">
        <v>0</v>
      </c>
      <c r="L110" s="215"/>
      <c r="Q110" s="223" t="s">
        <v>400</v>
      </c>
      <c r="R110" s="215">
        <v>0</v>
      </c>
      <c r="S110" s="215">
        <v>0</v>
      </c>
      <c r="T110" s="215"/>
    </row>
    <row r="111" spans="1:20">
      <c r="A111" s="113" t="s">
        <v>288</v>
      </c>
      <c r="B111" s="113">
        <v>0</v>
      </c>
      <c r="C111" s="113">
        <v>0</v>
      </c>
      <c r="D111" s="113"/>
      <c r="I111" s="223" t="s">
        <v>400</v>
      </c>
      <c r="J111" s="215">
        <v>0</v>
      </c>
      <c r="K111" s="215">
        <v>0</v>
      </c>
      <c r="L111" s="215"/>
      <c r="Q111" s="223" t="s">
        <v>400</v>
      </c>
      <c r="R111" s="215">
        <v>0</v>
      </c>
      <c r="S111" s="215">
        <v>0</v>
      </c>
      <c r="T111" s="215"/>
    </row>
    <row r="112" spans="1:20">
      <c r="A112" s="113" t="s">
        <v>398</v>
      </c>
      <c r="B112" s="113">
        <v>0</v>
      </c>
      <c r="C112" s="113">
        <v>0</v>
      </c>
      <c r="D112" s="113"/>
      <c r="I112" s="223"/>
      <c r="J112" s="224">
        <v>1099</v>
      </c>
      <c r="K112" s="224">
        <v>21</v>
      </c>
      <c r="L112" s="215"/>
      <c r="Q112" s="223"/>
      <c r="R112" s="224">
        <f>SUM(R99:R111)</f>
        <v>1099</v>
      </c>
      <c r="S112" s="224">
        <v>21</v>
      </c>
      <c r="T112" s="215"/>
    </row>
    <row r="113" spans="1:4">
      <c r="A113" s="113" t="s">
        <v>290</v>
      </c>
      <c r="B113" s="113">
        <v>0</v>
      </c>
      <c r="C113" s="113">
        <v>0</v>
      </c>
      <c r="D113" s="113"/>
    </row>
    <row r="114" spans="1:4">
      <c r="A114" s="113" t="s">
        <v>399</v>
      </c>
      <c r="B114" s="113">
        <v>0</v>
      </c>
      <c r="C114" s="113">
        <v>0</v>
      </c>
      <c r="D114" s="113"/>
    </row>
    <row r="115" spans="1:4">
      <c r="A115" s="113" t="s">
        <v>400</v>
      </c>
      <c r="B115" s="113">
        <v>0</v>
      </c>
      <c r="C115" s="113">
        <v>0</v>
      </c>
      <c r="D115" s="113"/>
    </row>
    <row r="116" spans="1:4">
      <c r="A116" s="113" t="s">
        <v>400</v>
      </c>
      <c r="B116" s="113">
        <v>0</v>
      </c>
      <c r="C116" s="113">
        <v>0</v>
      </c>
      <c r="D116" s="113"/>
    </row>
    <row r="117" spans="1:4">
      <c r="A117" s="113"/>
      <c r="B117" s="112">
        <f>SUM(B104:B116)</f>
        <v>1100</v>
      </c>
      <c r="C117" s="112">
        <v>18</v>
      </c>
      <c r="D117" s="1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04E7-54D1-46AD-B5BA-9711390D8ACC}">
  <dimension ref="A1:R51"/>
  <sheetViews>
    <sheetView topLeftCell="A5" workbookViewId="0">
      <selection activeCell="C29" sqref="C29"/>
    </sheetView>
  </sheetViews>
  <sheetFormatPr defaultRowHeight="15"/>
  <cols>
    <col min="1" max="1" width="62.42578125" bestFit="1" customWidth="1"/>
    <col min="8" max="8" width="44.7109375" bestFit="1" customWidth="1"/>
    <col min="9" max="9" width="9.140625" style="105"/>
    <col min="14" max="14" width="19.140625" customWidth="1"/>
    <col min="15" max="15" width="35.85546875" bestFit="1" customWidth="1"/>
  </cols>
  <sheetData>
    <row r="1" spans="1:17" ht="15" customHeight="1">
      <c r="A1" s="130" t="s">
        <v>37</v>
      </c>
      <c r="B1" s="373"/>
      <c r="C1" s="373"/>
      <c r="G1" s="374" t="s">
        <v>531</v>
      </c>
      <c r="H1" s="374"/>
      <c r="I1" s="373"/>
      <c r="J1" s="373"/>
      <c r="O1" t="s">
        <v>37</v>
      </c>
    </row>
    <row r="2" spans="1:17" ht="15" customHeight="1">
      <c r="A2" s="132"/>
      <c r="B2" s="375" t="s">
        <v>532</v>
      </c>
      <c r="C2" s="375"/>
      <c r="G2" s="374"/>
      <c r="H2" s="374"/>
      <c r="I2" s="375"/>
      <c r="J2" s="375"/>
    </row>
    <row r="3" spans="1:17" ht="15" customHeight="1">
      <c r="A3" s="131" t="s">
        <v>283</v>
      </c>
      <c r="B3" s="373" t="s">
        <v>41</v>
      </c>
      <c r="C3" s="373"/>
      <c r="D3" t="s">
        <v>533</v>
      </c>
      <c r="G3" s="374" t="s">
        <v>30</v>
      </c>
      <c r="H3" s="374"/>
      <c r="I3" s="373" t="s">
        <v>41</v>
      </c>
      <c r="J3" s="373"/>
      <c r="K3" t="s">
        <v>80</v>
      </c>
      <c r="N3" t="s">
        <v>534</v>
      </c>
      <c r="O3" t="s">
        <v>41</v>
      </c>
      <c r="P3" t="s">
        <v>535</v>
      </c>
    </row>
    <row r="4" spans="1:17">
      <c r="A4" s="131"/>
      <c r="B4" s="373"/>
      <c r="C4" s="373"/>
      <c r="G4" s="373"/>
      <c r="H4" s="373"/>
      <c r="I4" s="373"/>
      <c r="J4" s="373"/>
    </row>
    <row r="5" spans="1:17" ht="18.75">
      <c r="A5" s="133"/>
      <c r="B5" s="133"/>
      <c r="C5" s="133" t="s">
        <v>68</v>
      </c>
      <c r="G5" s="133" t="s">
        <v>536</v>
      </c>
      <c r="H5" s="133"/>
      <c r="I5" s="133"/>
      <c r="J5" s="133" t="s">
        <v>68</v>
      </c>
    </row>
    <row r="6" spans="1:17" ht="18.75" customHeight="1">
      <c r="A6" s="133"/>
      <c r="B6" s="133"/>
      <c r="C6" s="134">
        <v>1100</v>
      </c>
      <c r="G6" s="134">
        <v>17</v>
      </c>
      <c r="H6" s="133"/>
      <c r="I6" s="133"/>
      <c r="J6" s="134">
        <v>1100</v>
      </c>
      <c r="N6" s="374"/>
      <c r="O6" s="374"/>
      <c r="P6" s="373"/>
      <c r="Q6" s="373"/>
    </row>
    <row r="7" spans="1:17" ht="18.75" customHeight="1">
      <c r="A7" s="136" t="s">
        <v>222</v>
      </c>
      <c r="B7" s="136" t="s">
        <v>537</v>
      </c>
      <c r="C7" s="135">
        <v>39</v>
      </c>
      <c r="D7" t="s">
        <v>346</v>
      </c>
      <c r="G7" s="370" t="s">
        <v>538</v>
      </c>
      <c r="H7" s="136" t="s">
        <v>539</v>
      </c>
      <c r="I7" s="135" t="s">
        <v>540</v>
      </c>
      <c r="J7" s="135">
        <v>28</v>
      </c>
      <c r="K7" t="s">
        <v>346</v>
      </c>
      <c r="N7" s="374" t="s">
        <v>541</v>
      </c>
      <c r="O7" s="374"/>
      <c r="P7" s="375" t="s">
        <v>532</v>
      </c>
      <c r="Q7" s="375"/>
    </row>
    <row r="8" spans="1:17" ht="18.75" customHeight="1">
      <c r="A8" s="136" t="s">
        <v>542</v>
      </c>
      <c r="B8" s="135" t="s">
        <v>543</v>
      </c>
      <c r="C8" s="135">
        <v>65</v>
      </c>
      <c r="G8" s="370"/>
      <c r="H8" s="135" t="s">
        <v>544</v>
      </c>
      <c r="I8" s="136" t="s">
        <v>537</v>
      </c>
      <c r="J8" s="135">
        <v>95</v>
      </c>
      <c r="N8" s="374"/>
      <c r="O8" s="374"/>
      <c r="P8" s="373">
        <v>2024</v>
      </c>
      <c r="Q8" s="373"/>
    </row>
    <row r="9" spans="1:17" ht="18.75">
      <c r="A9" s="136" t="s">
        <v>545</v>
      </c>
      <c r="B9" s="135" t="s">
        <v>543</v>
      </c>
      <c r="C9" s="135">
        <v>65</v>
      </c>
      <c r="G9" s="370"/>
      <c r="H9" s="135" t="s">
        <v>544</v>
      </c>
      <c r="I9" s="136" t="s">
        <v>537</v>
      </c>
      <c r="J9" s="135">
        <v>95</v>
      </c>
      <c r="N9" s="373"/>
      <c r="O9" s="373"/>
      <c r="P9" s="373"/>
      <c r="Q9" s="373"/>
    </row>
    <row r="10" spans="1:17" ht="18.75">
      <c r="A10" s="136" t="s">
        <v>546</v>
      </c>
      <c r="B10" s="135" t="s">
        <v>543</v>
      </c>
      <c r="C10" s="135">
        <v>65</v>
      </c>
      <c r="G10" s="370"/>
      <c r="H10" s="135" t="s">
        <v>544</v>
      </c>
      <c r="I10" s="136" t="s">
        <v>537</v>
      </c>
      <c r="J10" s="135">
        <v>95</v>
      </c>
      <c r="N10" s="133" t="s">
        <v>536</v>
      </c>
      <c r="O10" s="133"/>
      <c r="P10" s="133"/>
      <c r="Q10" s="133" t="s">
        <v>68</v>
      </c>
    </row>
    <row r="11" spans="1:17" ht="18.75">
      <c r="A11" s="136" t="s">
        <v>547</v>
      </c>
      <c r="B11" s="135" t="s">
        <v>543</v>
      </c>
      <c r="C11" s="135">
        <v>65</v>
      </c>
      <c r="G11" s="370"/>
      <c r="H11" s="135" t="s">
        <v>544</v>
      </c>
      <c r="I11" s="136" t="s">
        <v>537</v>
      </c>
      <c r="J11" s="135">
        <v>95</v>
      </c>
      <c r="N11" s="134">
        <v>20</v>
      </c>
      <c r="O11" s="133"/>
      <c r="P11" s="133"/>
      <c r="Q11" s="134">
        <v>1097</v>
      </c>
    </row>
    <row r="12" spans="1:17" ht="18.75">
      <c r="A12" s="136" t="s">
        <v>548</v>
      </c>
      <c r="B12" s="135" t="s">
        <v>543</v>
      </c>
      <c r="C12" s="135">
        <v>42</v>
      </c>
      <c r="G12" s="370"/>
      <c r="H12" s="136" t="s">
        <v>549</v>
      </c>
      <c r="I12" s="135" t="s">
        <v>540</v>
      </c>
      <c r="J12" s="135">
        <v>21</v>
      </c>
      <c r="N12" s="133"/>
      <c r="O12" s="136" t="s">
        <v>550</v>
      </c>
      <c r="P12" s="137" t="s">
        <v>540</v>
      </c>
      <c r="Q12" s="135">
        <v>42</v>
      </c>
    </row>
    <row r="13" spans="1:17" ht="18.75">
      <c r="A13" s="136" t="s">
        <v>11</v>
      </c>
      <c r="B13" s="135" t="s">
        <v>543</v>
      </c>
      <c r="C13" s="135">
        <v>52</v>
      </c>
      <c r="G13" s="370"/>
      <c r="H13" s="136" t="s">
        <v>549</v>
      </c>
      <c r="I13" s="135" t="s">
        <v>540</v>
      </c>
      <c r="J13" s="135">
        <v>21</v>
      </c>
      <c r="N13" s="133"/>
      <c r="O13" s="133"/>
      <c r="P13" s="133"/>
      <c r="Q13" s="133"/>
    </row>
    <row r="14" spans="1:17" ht="18.75">
      <c r="A14" s="136" t="s">
        <v>551</v>
      </c>
      <c r="B14" s="135" t="s">
        <v>543</v>
      </c>
      <c r="C14" s="135">
        <v>60</v>
      </c>
      <c r="G14" s="370"/>
      <c r="H14" s="136" t="s">
        <v>552</v>
      </c>
      <c r="I14" s="135" t="s">
        <v>540</v>
      </c>
      <c r="J14" s="135">
        <v>36</v>
      </c>
      <c r="N14" s="370" t="s">
        <v>538</v>
      </c>
      <c r="O14" s="136" t="s">
        <v>553</v>
      </c>
      <c r="P14" s="137" t="s">
        <v>540</v>
      </c>
      <c r="Q14" s="135">
        <v>21</v>
      </c>
    </row>
    <row r="15" spans="1:17" ht="18.75">
      <c r="A15" s="136" t="s">
        <v>554</v>
      </c>
      <c r="B15" s="135" t="s">
        <v>543</v>
      </c>
      <c r="C15" s="135">
        <v>18</v>
      </c>
      <c r="G15" s="370"/>
      <c r="H15" s="136" t="s">
        <v>555</v>
      </c>
      <c r="I15" s="135"/>
      <c r="J15" s="135">
        <v>-15</v>
      </c>
      <c r="N15" s="370"/>
      <c r="O15" s="136" t="s">
        <v>556</v>
      </c>
      <c r="P15" s="136" t="s">
        <v>537</v>
      </c>
      <c r="Q15" s="135">
        <v>168</v>
      </c>
    </row>
    <row r="16" spans="1:17" ht="18.75">
      <c r="A16" s="136" t="s">
        <v>555</v>
      </c>
      <c r="B16" s="137"/>
      <c r="C16" s="135">
        <v>-15</v>
      </c>
      <c r="G16" s="139"/>
      <c r="H16" s="138"/>
      <c r="I16" s="376">
        <f>SUM(J7:J15)</f>
        <v>471</v>
      </c>
      <c r="J16" s="376"/>
      <c r="N16" s="370"/>
      <c r="O16" s="136" t="s">
        <v>556</v>
      </c>
      <c r="P16" s="136" t="s">
        <v>537</v>
      </c>
      <c r="Q16" s="135">
        <v>168</v>
      </c>
    </row>
    <row r="17" spans="1:18" ht="15" customHeight="1">
      <c r="A17" s="138"/>
      <c r="B17" s="376">
        <f>SUM(C7:C16)</f>
        <v>456</v>
      </c>
      <c r="C17" s="376"/>
      <c r="G17" s="371" t="s">
        <v>557</v>
      </c>
      <c r="H17" s="136" t="s">
        <v>222</v>
      </c>
      <c r="I17" s="135" t="s">
        <v>540</v>
      </c>
      <c r="J17" s="135">
        <v>21</v>
      </c>
      <c r="N17" s="370"/>
      <c r="O17" s="136" t="s">
        <v>558</v>
      </c>
      <c r="P17" s="136" t="s">
        <v>537</v>
      </c>
      <c r="Q17" s="135">
        <v>26</v>
      </c>
    </row>
    <row r="18" spans="1:18" ht="18.75">
      <c r="A18" s="136" t="s">
        <v>222</v>
      </c>
      <c r="B18" s="137" t="s">
        <v>540</v>
      </c>
      <c r="C18" s="135">
        <v>21</v>
      </c>
      <c r="G18" s="371"/>
      <c r="H18" s="136" t="s">
        <v>559</v>
      </c>
      <c r="I18" s="136" t="s">
        <v>537</v>
      </c>
      <c r="J18" s="135">
        <v>120</v>
      </c>
      <c r="N18" s="370"/>
      <c r="O18" s="136" t="s">
        <v>560</v>
      </c>
      <c r="P18" s="136" t="s">
        <v>537</v>
      </c>
      <c r="Q18" s="135">
        <v>56</v>
      </c>
    </row>
    <row r="19" spans="1:18" ht="18.75">
      <c r="A19" s="136" t="s">
        <v>561</v>
      </c>
      <c r="B19" s="135" t="s">
        <v>543</v>
      </c>
      <c r="C19" s="135">
        <v>55</v>
      </c>
      <c r="G19" s="371"/>
      <c r="H19" s="136" t="s">
        <v>559</v>
      </c>
      <c r="I19" s="136" t="s">
        <v>537</v>
      </c>
      <c r="J19" s="135">
        <v>120</v>
      </c>
      <c r="N19" s="370"/>
      <c r="O19" s="136" t="s">
        <v>560</v>
      </c>
      <c r="P19" s="136" t="s">
        <v>537</v>
      </c>
      <c r="Q19" s="135">
        <v>56</v>
      </c>
    </row>
    <row r="20" spans="1:18" ht="18.75">
      <c r="A20" s="136" t="s">
        <v>562</v>
      </c>
      <c r="B20" s="135" t="s">
        <v>543</v>
      </c>
      <c r="C20" s="135">
        <v>50</v>
      </c>
      <c r="G20" s="371"/>
      <c r="H20" s="136" t="s">
        <v>552</v>
      </c>
      <c r="I20" s="135" t="s">
        <v>540</v>
      </c>
      <c r="J20" s="135">
        <v>36</v>
      </c>
      <c r="N20" s="139"/>
      <c r="O20" s="138"/>
      <c r="P20" s="376">
        <f>SUM(Q14:Q19)</f>
        <v>495</v>
      </c>
      <c r="Q20" s="376"/>
    </row>
    <row r="21" spans="1:18" ht="18.75">
      <c r="A21" s="136" t="s">
        <v>562</v>
      </c>
      <c r="B21" s="135" t="s">
        <v>543</v>
      </c>
      <c r="C21" s="135">
        <v>50</v>
      </c>
      <c r="G21" s="371"/>
      <c r="H21" s="136" t="s">
        <v>549</v>
      </c>
      <c r="I21" s="135" t="s">
        <v>540</v>
      </c>
      <c r="J21" s="135">
        <v>21</v>
      </c>
      <c r="N21" s="371" t="s">
        <v>557</v>
      </c>
      <c r="O21" s="136" t="s">
        <v>553</v>
      </c>
      <c r="P21" s="137" t="s">
        <v>540</v>
      </c>
      <c r="Q21" s="135">
        <v>21</v>
      </c>
      <c r="R21" t="s">
        <v>346</v>
      </c>
    </row>
    <row r="22" spans="1:18" ht="18.75">
      <c r="A22" s="136" t="s">
        <v>563</v>
      </c>
      <c r="B22" s="135" t="s">
        <v>543</v>
      </c>
      <c r="C22" s="135">
        <v>50</v>
      </c>
      <c r="G22" s="371"/>
      <c r="H22" s="136" t="s">
        <v>549</v>
      </c>
      <c r="I22" s="135" t="s">
        <v>540</v>
      </c>
      <c r="J22" s="135">
        <v>21</v>
      </c>
      <c r="N22" s="371"/>
      <c r="O22" s="136" t="s">
        <v>564</v>
      </c>
      <c r="P22" s="136" t="s">
        <v>537</v>
      </c>
      <c r="Q22" s="135">
        <v>48</v>
      </c>
    </row>
    <row r="23" spans="1:18" ht="15" customHeight="1">
      <c r="A23" s="138"/>
      <c r="B23" s="376">
        <f>SUM(C18:C22)</f>
        <v>226</v>
      </c>
      <c r="C23" s="376"/>
      <c r="G23" s="371"/>
      <c r="H23" s="136" t="s">
        <v>11</v>
      </c>
      <c r="I23" s="135" t="s">
        <v>543</v>
      </c>
      <c r="J23" s="135">
        <v>52</v>
      </c>
      <c r="N23" s="371"/>
      <c r="O23" s="136" t="s">
        <v>564</v>
      </c>
      <c r="P23" s="136" t="s">
        <v>537</v>
      </c>
      <c r="Q23" s="135">
        <v>48</v>
      </c>
    </row>
    <row r="24" spans="1:18" ht="18.75">
      <c r="A24" s="136" t="s">
        <v>222</v>
      </c>
      <c r="B24" s="137" t="s">
        <v>540</v>
      </c>
      <c r="C24" s="135">
        <v>21</v>
      </c>
      <c r="G24" s="139">
        <v>1</v>
      </c>
      <c r="H24" s="136" t="s">
        <v>424</v>
      </c>
      <c r="I24" s="135" t="s">
        <v>543</v>
      </c>
      <c r="J24" s="135">
        <v>18</v>
      </c>
      <c r="N24" s="371"/>
      <c r="O24" s="136" t="s">
        <v>564</v>
      </c>
      <c r="P24" s="136" t="s">
        <v>537</v>
      </c>
      <c r="Q24" s="135">
        <v>48</v>
      </c>
    </row>
    <row r="25" spans="1:18" ht="18.75">
      <c r="A25" s="136" t="s">
        <v>565</v>
      </c>
      <c r="B25" s="135" t="s">
        <v>543</v>
      </c>
      <c r="C25" s="135">
        <v>85</v>
      </c>
      <c r="G25" s="370" t="s">
        <v>566</v>
      </c>
      <c r="H25" s="138"/>
      <c r="I25" s="138">
        <f>SUM(J17:J24)</f>
        <v>409</v>
      </c>
      <c r="J25" s="138"/>
      <c r="N25" s="371"/>
      <c r="O25" s="136" t="s">
        <v>564</v>
      </c>
      <c r="P25" s="136" t="s">
        <v>537</v>
      </c>
      <c r="Q25" s="135">
        <v>48</v>
      </c>
    </row>
    <row r="26" spans="1:18" ht="18.75">
      <c r="A26" s="136" t="s">
        <v>567</v>
      </c>
      <c r="B26" s="136" t="s">
        <v>537</v>
      </c>
      <c r="C26" s="135">
        <v>119</v>
      </c>
      <c r="G26" s="370"/>
      <c r="H26" s="136" t="s">
        <v>568</v>
      </c>
      <c r="I26" s="135" t="s">
        <v>543</v>
      </c>
      <c r="J26" s="135">
        <v>115</v>
      </c>
      <c r="N26" s="371"/>
      <c r="O26" s="136" t="s">
        <v>558</v>
      </c>
      <c r="P26" s="136" t="s">
        <v>537</v>
      </c>
      <c r="Q26" s="135">
        <v>26</v>
      </c>
    </row>
    <row r="27" spans="1:18" ht="18.75">
      <c r="A27" s="136" t="s">
        <v>569</v>
      </c>
      <c r="B27" s="136" t="s">
        <v>537</v>
      </c>
      <c r="C27" s="135">
        <v>119</v>
      </c>
      <c r="G27" s="370"/>
      <c r="H27" s="136" t="s">
        <v>570</v>
      </c>
      <c r="I27" s="135" t="s">
        <v>543</v>
      </c>
      <c r="J27" s="135">
        <v>105</v>
      </c>
      <c r="N27" s="371"/>
      <c r="O27" s="136" t="s">
        <v>555</v>
      </c>
      <c r="P27" s="137"/>
      <c r="Q27" s="135">
        <v>-15</v>
      </c>
    </row>
    <row r="28" spans="1:18" ht="18.75">
      <c r="A28" s="136" t="s">
        <v>551</v>
      </c>
      <c r="B28" s="135" t="s">
        <v>543</v>
      </c>
      <c r="C28" s="135">
        <v>60</v>
      </c>
      <c r="G28" s="370"/>
      <c r="H28" s="135"/>
      <c r="I28" s="135">
        <f>SUM(J26:J27)</f>
        <v>220</v>
      </c>
      <c r="J28" s="135"/>
      <c r="N28" s="139">
        <v>1</v>
      </c>
      <c r="O28" s="138"/>
      <c r="P28" s="376">
        <f>SUM(Q21:Q27)</f>
        <v>224</v>
      </c>
      <c r="Q28" s="376"/>
    </row>
    <row r="29" spans="1:18" ht="18.75">
      <c r="A29" s="136" t="s">
        <v>571</v>
      </c>
      <c r="B29" s="137" t="s">
        <v>540</v>
      </c>
      <c r="C29" s="135">
        <v>14</v>
      </c>
      <c r="D29">
        <f>SUM(C24:C29)</f>
        <v>418</v>
      </c>
      <c r="N29" s="370" t="s">
        <v>572</v>
      </c>
      <c r="O29" s="136" t="s">
        <v>553</v>
      </c>
      <c r="P29" s="137" t="s">
        <v>540</v>
      </c>
      <c r="Q29" s="135">
        <v>21</v>
      </c>
    </row>
    <row r="30" spans="1:18" ht="76.5">
      <c r="A30" s="90"/>
      <c r="B30" s="91"/>
      <c r="C30" s="92" t="s">
        <v>274</v>
      </c>
      <c r="D30" s="103"/>
      <c r="G30" s="90"/>
      <c r="H30" s="91"/>
      <c r="I30" s="92" t="s">
        <v>274</v>
      </c>
      <c r="J30" s="103"/>
      <c r="N30" s="370"/>
      <c r="O30" s="136" t="s">
        <v>573</v>
      </c>
      <c r="P30" s="136" t="s">
        <v>537</v>
      </c>
      <c r="Q30" s="135">
        <v>100</v>
      </c>
    </row>
    <row r="31" spans="1:18" ht="18.75">
      <c r="A31" s="67" t="s">
        <v>275</v>
      </c>
      <c r="B31" s="73" t="s">
        <v>41</v>
      </c>
      <c r="C31" s="81"/>
      <c r="D31" s="103"/>
      <c r="G31" s="67" t="s">
        <v>275</v>
      </c>
      <c r="H31" s="73" t="s">
        <v>41</v>
      </c>
      <c r="I31" s="81"/>
      <c r="J31" s="103"/>
      <c r="N31" s="370"/>
      <c r="O31" s="136" t="s">
        <v>573</v>
      </c>
      <c r="P31" s="136" t="s">
        <v>537</v>
      </c>
      <c r="Q31" s="135">
        <v>100</v>
      </c>
    </row>
    <row r="32" spans="1:18" ht="18.75">
      <c r="A32" s="67" t="s">
        <v>277</v>
      </c>
      <c r="B32" s="73" t="s">
        <v>574</v>
      </c>
      <c r="C32" s="81"/>
      <c r="D32" s="103"/>
      <c r="G32" s="67" t="s">
        <v>277</v>
      </c>
      <c r="H32" s="73"/>
      <c r="I32" s="81"/>
      <c r="J32" s="103"/>
      <c r="N32" s="370"/>
      <c r="O32" s="136" t="s">
        <v>22</v>
      </c>
      <c r="P32" s="135" t="s">
        <v>543</v>
      </c>
      <c r="Q32" s="135">
        <v>50</v>
      </c>
    </row>
    <row r="33" spans="1:17" ht="18.75">
      <c r="A33" s="67" t="s">
        <v>278</v>
      </c>
      <c r="B33" s="73">
        <v>3</v>
      </c>
      <c r="C33" s="81"/>
      <c r="D33" s="103"/>
      <c r="G33" s="67" t="s">
        <v>278</v>
      </c>
      <c r="H33" s="73">
        <v>3</v>
      </c>
      <c r="I33" s="81"/>
      <c r="J33" s="103"/>
      <c r="N33" s="370"/>
      <c r="O33" s="136" t="s">
        <v>575</v>
      </c>
      <c r="P33" s="135" t="s">
        <v>543</v>
      </c>
      <c r="Q33" s="135">
        <v>19</v>
      </c>
    </row>
    <row r="34" spans="1:17" ht="18.75">
      <c r="A34" s="67" t="s">
        <v>282</v>
      </c>
      <c r="B34" s="73" t="s">
        <v>283</v>
      </c>
      <c r="C34" s="81"/>
      <c r="D34" s="103"/>
      <c r="G34" s="67" t="s">
        <v>282</v>
      </c>
      <c r="H34" s="73" t="s">
        <v>30</v>
      </c>
      <c r="I34" s="81"/>
      <c r="J34" s="103"/>
      <c r="N34" s="370"/>
      <c r="O34" s="136" t="s">
        <v>576</v>
      </c>
      <c r="P34" s="135" t="s">
        <v>543</v>
      </c>
      <c r="Q34" s="135">
        <v>23</v>
      </c>
    </row>
    <row r="35" spans="1:17" ht="18.75">
      <c r="A35" s="93"/>
      <c r="B35" s="80"/>
      <c r="C35" s="81"/>
      <c r="D35" s="103"/>
      <c r="G35" s="93"/>
      <c r="H35" s="80"/>
      <c r="I35" s="81"/>
      <c r="J35" s="103"/>
      <c r="N35" s="370"/>
      <c r="O35" s="136" t="s">
        <v>576</v>
      </c>
      <c r="P35" s="135" t="s">
        <v>543</v>
      </c>
      <c r="Q35" s="135">
        <v>23</v>
      </c>
    </row>
    <row r="36" spans="1:17">
      <c r="A36" s="94" t="s">
        <v>284</v>
      </c>
      <c r="B36" s="94"/>
      <c r="C36" s="94"/>
      <c r="D36" s="103"/>
      <c r="G36" s="94" t="s">
        <v>284</v>
      </c>
      <c r="H36" s="94"/>
      <c r="I36" s="94"/>
      <c r="J36" s="103"/>
      <c r="N36" s="94" t="s">
        <v>284</v>
      </c>
      <c r="O36" s="94"/>
      <c r="P36" s="94"/>
      <c r="Q36" s="103">
        <f>SUM(Q29:Q35)</f>
        <v>336</v>
      </c>
    </row>
    <row r="37" spans="1:17">
      <c r="A37" s="94"/>
      <c r="B37" s="94" t="s">
        <v>285</v>
      </c>
      <c r="C37" s="94" t="s">
        <v>15</v>
      </c>
      <c r="D37" s="94" t="s">
        <v>5</v>
      </c>
      <c r="G37" s="94"/>
      <c r="H37" s="94" t="s">
        <v>285</v>
      </c>
      <c r="I37" s="94" t="s">
        <v>15</v>
      </c>
      <c r="J37" s="94" t="s">
        <v>5</v>
      </c>
      <c r="N37" s="94"/>
      <c r="O37" s="94" t="s">
        <v>285</v>
      </c>
      <c r="P37" s="94" t="s">
        <v>15</v>
      </c>
      <c r="Q37" s="94" t="s">
        <v>5</v>
      </c>
    </row>
    <row r="38" spans="1:17">
      <c r="A38" s="95" t="s">
        <v>393</v>
      </c>
      <c r="B38" s="95">
        <v>0</v>
      </c>
      <c r="C38" s="95"/>
      <c r="D38" s="96"/>
      <c r="G38" s="95" t="s">
        <v>393</v>
      </c>
      <c r="H38" s="95">
        <v>0</v>
      </c>
      <c r="I38" s="95">
        <v>0</v>
      </c>
      <c r="J38" s="96"/>
      <c r="N38" s="95" t="s">
        <v>393</v>
      </c>
      <c r="O38" s="95">
        <f>Q12</f>
        <v>42</v>
      </c>
      <c r="P38" s="95">
        <v>0</v>
      </c>
      <c r="Q38" s="96"/>
    </row>
    <row r="39" spans="1:17">
      <c r="A39" s="96" t="s">
        <v>286</v>
      </c>
      <c r="B39" s="96">
        <f>B17</f>
        <v>456</v>
      </c>
      <c r="C39" s="96"/>
      <c r="D39" s="96"/>
      <c r="G39" s="96" t="s">
        <v>286</v>
      </c>
      <c r="H39" s="96">
        <f>SUM(J7:J15)</f>
        <v>471</v>
      </c>
      <c r="I39" s="96">
        <v>8</v>
      </c>
      <c r="J39" s="96"/>
      <c r="N39" s="96" t="s">
        <v>286</v>
      </c>
      <c r="O39" s="96">
        <f>P20</f>
        <v>495</v>
      </c>
      <c r="P39" s="96"/>
      <c r="Q39" s="96"/>
    </row>
    <row r="40" spans="1:17">
      <c r="A40" s="96" t="s">
        <v>287</v>
      </c>
      <c r="B40" s="96">
        <f>D29</f>
        <v>418</v>
      </c>
      <c r="C40" s="96"/>
      <c r="D40" s="96"/>
      <c r="G40" s="96" t="s">
        <v>287</v>
      </c>
      <c r="H40" s="96">
        <f>SUM(J17:J24)</f>
        <v>409</v>
      </c>
      <c r="I40" s="96">
        <v>7</v>
      </c>
      <c r="J40" s="96"/>
      <c r="N40" s="96" t="s">
        <v>287</v>
      </c>
      <c r="O40" s="96">
        <f>P28</f>
        <v>224</v>
      </c>
      <c r="P40" s="96"/>
      <c r="Q40" s="96"/>
    </row>
    <row r="41" spans="1:17">
      <c r="A41" s="96" t="s">
        <v>289</v>
      </c>
      <c r="B41" s="96">
        <v>0</v>
      </c>
      <c r="C41" s="96"/>
      <c r="D41" s="96"/>
      <c r="G41" s="96" t="s">
        <v>289</v>
      </c>
      <c r="H41" s="96">
        <v>0</v>
      </c>
      <c r="I41" s="96">
        <v>0</v>
      </c>
      <c r="J41" s="96"/>
      <c r="N41" s="96" t="s">
        <v>289</v>
      </c>
      <c r="O41" s="96">
        <v>0</v>
      </c>
      <c r="P41" s="96">
        <v>0</v>
      </c>
      <c r="Q41" s="96"/>
    </row>
    <row r="42" spans="1:17">
      <c r="A42" s="96" t="s">
        <v>396</v>
      </c>
      <c r="B42" s="96">
        <v>0</v>
      </c>
      <c r="C42" s="96"/>
      <c r="D42" s="96"/>
      <c r="G42" s="96" t="s">
        <v>396</v>
      </c>
      <c r="H42" s="96">
        <v>0</v>
      </c>
      <c r="I42" s="96">
        <v>0</v>
      </c>
      <c r="J42" s="96"/>
      <c r="N42" s="96" t="s">
        <v>396</v>
      </c>
      <c r="O42" s="96">
        <v>0</v>
      </c>
      <c r="P42" s="96">
        <v>0</v>
      </c>
      <c r="Q42" s="96"/>
    </row>
    <row r="43" spans="1:17">
      <c r="A43" s="95" t="s">
        <v>397</v>
      </c>
      <c r="B43" s="96">
        <v>0</v>
      </c>
      <c r="C43" s="96"/>
      <c r="D43" s="96"/>
      <c r="G43" s="95" t="s">
        <v>397</v>
      </c>
      <c r="H43" s="96">
        <v>0</v>
      </c>
      <c r="I43" s="96">
        <v>0</v>
      </c>
      <c r="J43" s="96"/>
      <c r="N43" s="95" t="s">
        <v>397</v>
      </c>
      <c r="O43" s="96">
        <f>Q36</f>
        <v>336</v>
      </c>
      <c r="P43" s="96">
        <v>0</v>
      </c>
      <c r="Q43" s="96"/>
    </row>
    <row r="44" spans="1:17">
      <c r="A44" s="95" t="s">
        <v>291</v>
      </c>
      <c r="B44" s="96">
        <v>0</v>
      </c>
      <c r="C44" s="96"/>
      <c r="D44" s="96"/>
      <c r="G44" s="95" t="s">
        <v>291</v>
      </c>
      <c r="H44" s="96">
        <v>0</v>
      </c>
      <c r="I44" s="96">
        <v>0</v>
      </c>
      <c r="J44" s="96"/>
      <c r="N44" s="95" t="s">
        <v>291</v>
      </c>
      <c r="O44" s="96">
        <v>0</v>
      </c>
      <c r="P44" s="96">
        <v>0</v>
      </c>
      <c r="Q44" s="96"/>
    </row>
    <row r="45" spans="1:17">
      <c r="A45" s="95" t="s">
        <v>288</v>
      </c>
      <c r="B45" s="96">
        <f>B23</f>
        <v>226</v>
      </c>
      <c r="C45" s="96"/>
      <c r="D45" s="96"/>
      <c r="G45" s="95" t="s">
        <v>288</v>
      </c>
      <c r="H45" s="96">
        <v>0</v>
      </c>
      <c r="I45" s="96">
        <v>0</v>
      </c>
      <c r="J45" s="96"/>
      <c r="N45" s="95" t="s">
        <v>288</v>
      </c>
      <c r="O45" s="96">
        <v>0</v>
      </c>
      <c r="P45" s="96">
        <v>0</v>
      </c>
      <c r="Q45" s="96"/>
    </row>
    <row r="46" spans="1:17">
      <c r="A46" s="95" t="s">
        <v>398</v>
      </c>
      <c r="B46" s="96">
        <v>0</v>
      </c>
      <c r="C46" s="96"/>
      <c r="D46" s="96"/>
      <c r="G46" s="95" t="s">
        <v>398</v>
      </c>
      <c r="H46" s="96">
        <v>0</v>
      </c>
      <c r="I46" s="96">
        <v>0</v>
      </c>
      <c r="J46" s="96"/>
      <c r="N46" s="95" t="s">
        <v>398</v>
      </c>
      <c r="O46" s="96">
        <v>0</v>
      </c>
      <c r="P46" s="96">
        <v>0</v>
      </c>
      <c r="Q46" s="96"/>
    </row>
    <row r="47" spans="1:17">
      <c r="A47" s="95" t="s">
        <v>290</v>
      </c>
      <c r="B47" s="96">
        <f>SUM(D25:D26)</f>
        <v>0</v>
      </c>
      <c r="C47" s="96"/>
      <c r="D47" s="96"/>
      <c r="G47" s="95" t="s">
        <v>290</v>
      </c>
      <c r="H47" s="96">
        <f>SUM(J26:J27)</f>
        <v>220</v>
      </c>
      <c r="I47" s="96">
        <v>2</v>
      </c>
      <c r="J47" s="96"/>
      <c r="N47" s="95" t="s">
        <v>290</v>
      </c>
      <c r="O47" s="96"/>
      <c r="P47" s="96"/>
      <c r="Q47" s="96"/>
    </row>
    <row r="48" spans="1:17">
      <c r="A48" s="95" t="s">
        <v>399</v>
      </c>
      <c r="B48" s="96">
        <v>0</v>
      </c>
      <c r="C48" s="96"/>
      <c r="D48" s="96"/>
      <c r="G48" s="95" t="s">
        <v>399</v>
      </c>
      <c r="H48" s="96">
        <v>0</v>
      </c>
      <c r="I48" s="96">
        <v>0</v>
      </c>
      <c r="J48" s="96"/>
      <c r="N48" s="95" t="s">
        <v>399</v>
      </c>
      <c r="O48" s="96">
        <v>0</v>
      </c>
      <c r="P48" s="96">
        <v>0</v>
      </c>
      <c r="Q48" s="96"/>
    </row>
    <row r="49" spans="1:17">
      <c r="A49" s="95" t="s">
        <v>400</v>
      </c>
      <c r="B49" s="96">
        <v>0</v>
      </c>
      <c r="C49" s="96"/>
      <c r="D49" s="96"/>
      <c r="G49" s="95" t="s">
        <v>400</v>
      </c>
      <c r="H49" s="96">
        <v>0</v>
      </c>
      <c r="I49" s="96">
        <v>0</v>
      </c>
      <c r="J49" s="96"/>
      <c r="N49" s="95" t="s">
        <v>400</v>
      </c>
      <c r="O49" s="96">
        <v>0</v>
      </c>
      <c r="P49" s="96">
        <v>0</v>
      </c>
      <c r="Q49" s="96"/>
    </row>
    <row r="50" spans="1:17">
      <c r="A50" s="95" t="s">
        <v>400</v>
      </c>
      <c r="B50" s="96">
        <v>0</v>
      </c>
      <c r="C50" s="96"/>
      <c r="D50" s="96"/>
      <c r="G50" s="95" t="s">
        <v>400</v>
      </c>
      <c r="H50" s="96">
        <v>0</v>
      </c>
      <c r="I50" s="96">
        <v>0</v>
      </c>
      <c r="J50" s="96"/>
      <c r="N50" s="95" t="s">
        <v>400</v>
      </c>
      <c r="O50" s="96">
        <v>0</v>
      </c>
      <c r="P50" s="96">
        <v>0</v>
      </c>
      <c r="Q50" s="96"/>
    </row>
    <row r="51" spans="1:17">
      <c r="A51" s="96"/>
      <c r="B51" s="94">
        <f>SUM(B38:B50)</f>
        <v>1100</v>
      </c>
      <c r="C51" s="94"/>
      <c r="D51" s="96"/>
      <c r="G51" s="96"/>
      <c r="H51" s="94">
        <f>SUM(H38:H50)</f>
        <v>1100</v>
      </c>
      <c r="I51" s="94">
        <v>17</v>
      </c>
      <c r="J51" s="96"/>
      <c r="N51" s="96"/>
      <c r="O51" s="94">
        <f>SUM(O38:O50)</f>
        <v>1097</v>
      </c>
      <c r="P51" s="94">
        <v>20</v>
      </c>
      <c r="Q51" s="96"/>
    </row>
  </sheetData>
  <mergeCells count="31">
    <mergeCell ref="B23:C23"/>
    <mergeCell ref="B1:C1"/>
    <mergeCell ref="B2:C2"/>
    <mergeCell ref="B3:C3"/>
    <mergeCell ref="B4:C4"/>
    <mergeCell ref="B17:C17"/>
    <mergeCell ref="G1:H1"/>
    <mergeCell ref="I1:J1"/>
    <mergeCell ref="G2:H2"/>
    <mergeCell ref="I2:J2"/>
    <mergeCell ref="G3:H3"/>
    <mergeCell ref="I3:J3"/>
    <mergeCell ref="G4:H4"/>
    <mergeCell ref="I4:J4"/>
    <mergeCell ref="G7:G15"/>
    <mergeCell ref="I16:J16"/>
    <mergeCell ref="G17:G23"/>
    <mergeCell ref="N29:N35"/>
    <mergeCell ref="G25:G28"/>
    <mergeCell ref="N6:O6"/>
    <mergeCell ref="N9:O9"/>
    <mergeCell ref="P6:Q6"/>
    <mergeCell ref="N7:O7"/>
    <mergeCell ref="P7:Q7"/>
    <mergeCell ref="N8:O8"/>
    <mergeCell ref="P8:Q8"/>
    <mergeCell ref="P9:Q9"/>
    <mergeCell ref="N14:N19"/>
    <mergeCell ref="P20:Q20"/>
    <mergeCell ref="N21:N27"/>
    <mergeCell ref="P28:Q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3011-6E43-43CB-89E3-CDFFC8E8241D}">
  <dimension ref="A1:U106"/>
  <sheetViews>
    <sheetView topLeftCell="F81" workbookViewId="0">
      <selection activeCell="S98" sqref="S98"/>
    </sheetView>
  </sheetViews>
  <sheetFormatPr defaultRowHeight="15"/>
  <cols>
    <col min="1" max="1" width="51.42578125" bestFit="1" customWidth="1"/>
    <col min="3" max="3" width="35.7109375" bestFit="1" customWidth="1"/>
    <col min="9" max="9" width="57.42578125" bestFit="1" customWidth="1"/>
    <col min="11" max="11" width="34.140625" bestFit="1" customWidth="1"/>
    <col min="17" max="17" width="51.42578125" bestFit="1" customWidth="1"/>
    <col min="19" max="19" width="33.42578125" bestFit="1" customWidth="1"/>
  </cols>
  <sheetData>
    <row r="1" spans="1:21">
      <c r="S1" t="s">
        <v>37</v>
      </c>
    </row>
    <row r="2" spans="1:21">
      <c r="A2" t="s">
        <v>47</v>
      </c>
      <c r="B2" t="s">
        <v>31</v>
      </c>
      <c r="C2" t="s">
        <v>577</v>
      </c>
      <c r="I2" t="s">
        <v>47</v>
      </c>
      <c r="J2" t="s">
        <v>34</v>
      </c>
      <c r="K2" t="s">
        <v>578</v>
      </c>
      <c r="Q2" t="s">
        <v>47</v>
      </c>
      <c r="R2" t="s">
        <v>30</v>
      </c>
      <c r="S2" t="s">
        <v>579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67" t="s">
        <v>219</v>
      </c>
      <c r="R3" s="68"/>
      <c r="S3" s="69"/>
      <c r="T3" s="70"/>
      <c r="U3" s="71"/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72" t="s">
        <v>220</v>
      </c>
      <c r="R4" s="73" t="s">
        <v>100</v>
      </c>
      <c r="S4" s="256" t="s">
        <v>580</v>
      </c>
      <c r="T4" s="75" t="s">
        <v>78</v>
      </c>
      <c r="U4" s="76">
        <v>21</v>
      </c>
    </row>
    <row r="5" spans="1:21">
      <c r="A5" s="72" t="s">
        <v>220</v>
      </c>
      <c r="B5" s="73" t="s">
        <v>145</v>
      </c>
      <c r="C5" s="227" t="s">
        <v>581</v>
      </c>
      <c r="D5" s="75" t="s">
        <v>142</v>
      </c>
      <c r="E5" s="76">
        <v>40</v>
      </c>
      <c r="I5" s="72" t="s">
        <v>220</v>
      </c>
      <c r="J5" s="26" t="s">
        <v>221</v>
      </c>
      <c r="K5" s="41" t="s">
        <v>582</v>
      </c>
      <c r="L5" s="28" t="s">
        <v>142</v>
      </c>
      <c r="M5" s="76">
        <v>21</v>
      </c>
      <c r="Q5" s="72" t="s">
        <v>226</v>
      </c>
      <c r="R5" s="73" t="s">
        <v>100</v>
      </c>
      <c r="S5" s="257" t="s">
        <v>583</v>
      </c>
      <c r="T5" s="78" t="s">
        <v>78</v>
      </c>
      <c r="U5" s="76">
        <v>70</v>
      </c>
    </row>
    <row r="6" spans="1:21" ht="30.75">
      <c r="A6" s="72" t="s">
        <v>226</v>
      </c>
      <c r="B6" s="73" t="s">
        <v>145</v>
      </c>
      <c r="C6" s="228" t="s">
        <v>584</v>
      </c>
      <c r="D6" s="78" t="s">
        <v>142</v>
      </c>
      <c r="E6" s="76">
        <v>118</v>
      </c>
      <c r="I6" s="72" t="s">
        <v>226</v>
      </c>
      <c r="J6" s="73" t="s">
        <v>585</v>
      </c>
      <c r="K6" s="27" t="s">
        <v>586</v>
      </c>
      <c r="L6" s="229" t="s">
        <v>142</v>
      </c>
      <c r="M6" s="76">
        <v>116</v>
      </c>
      <c r="Q6" s="72" t="s">
        <v>232</v>
      </c>
      <c r="R6" s="73" t="s">
        <v>100</v>
      </c>
      <c r="S6" s="257" t="s">
        <v>583</v>
      </c>
      <c r="T6" s="78" t="s">
        <v>78</v>
      </c>
      <c r="U6" s="76">
        <v>70</v>
      </c>
    </row>
    <row r="7" spans="1:21" ht="30.75">
      <c r="A7" s="72" t="s">
        <v>232</v>
      </c>
      <c r="B7" s="73" t="s">
        <v>145</v>
      </c>
      <c r="C7" s="228" t="s">
        <v>587</v>
      </c>
      <c r="D7" s="78" t="s">
        <v>142</v>
      </c>
      <c r="E7" s="76">
        <v>138</v>
      </c>
      <c r="I7" s="72" t="s">
        <v>232</v>
      </c>
      <c r="J7" s="73" t="s">
        <v>585</v>
      </c>
      <c r="K7" s="27" t="s">
        <v>588</v>
      </c>
      <c r="L7" s="229" t="s">
        <v>142</v>
      </c>
      <c r="M7" s="76">
        <v>127</v>
      </c>
      <c r="Q7" s="79"/>
      <c r="R7" s="80"/>
      <c r="S7" s="81"/>
      <c r="T7" s="82"/>
      <c r="U7" s="83"/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67" t="s">
        <v>234</v>
      </c>
      <c r="R8" s="80"/>
      <c r="S8" s="81"/>
      <c r="T8" s="82"/>
      <c r="U8" s="83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72" t="s">
        <v>303</v>
      </c>
      <c r="R9" s="84"/>
      <c r="S9" s="85"/>
      <c r="T9" s="86"/>
      <c r="U9" s="87"/>
    </row>
    <row r="10" spans="1:21">
      <c r="A10" s="72" t="s">
        <v>303</v>
      </c>
      <c r="B10" s="84"/>
      <c r="C10" s="85"/>
      <c r="D10" s="86"/>
      <c r="E10" s="87"/>
      <c r="I10" s="72" t="s">
        <v>303</v>
      </c>
      <c r="J10" s="84"/>
      <c r="K10" s="85"/>
      <c r="L10" s="86"/>
      <c r="M10" s="87"/>
      <c r="Q10" s="72" t="s">
        <v>303</v>
      </c>
      <c r="R10" s="84"/>
      <c r="S10" s="85"/>
      <c r="T10" s="86"/>
      <c r="U10" s="87"/>
    </row>
    <row r="11" spans="1:21">
      <c r="A11" s="72" t="s">
        <v>303</v>
      </c>
      <c r="B11" s="84"/>
      <c r="C11" s="85"/>
      <c r="D11" s="86"/>
      <c r="E11" s="87"/>
      <c r="I11" s="72" t="s">
        <v>303</v>
      </c>
      <c r="J11" s="84"/>
      <c r="K11" s="85"/>
      <c r="L11" s="86"/>
      <c r="M11" s="87"/>
      <c r="Q11" s="72" t="s">
        <v>305</v>
      </c>
      <c r="R11" s="84"/>
      <c r="S11" s="85"/>
      <c r="T11" s="86"/>
      <c r="U11" s="87"/>
    </row>
    <row r="12" spans="1:21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72" t="s">
        <v>306</v>
      </c>
      <c r="R12" s="84"/>
      <c r="S12" s="85"/>
      <c r="T12" s="86"/>
      <c r="U12" s="87"/>
    </row>
    <row r="13" spans="1:21">
      <c r="A13" s="72" t="s">
        <v>306</v>
      </c>
      <c r="B13" s="84"/>
      <c r="C13" s="85"/>
      <c r="D13" s="86"/>
      <c r="E13" s="87"/>
      <c r="I13" s="72" t="s">
        <v>306</v>
      </c>
      <c r="J13" s="84"/>
      <c r="K13" s="85"/>
      <c r="L13" s="86"/>
      <c r="M13" s="87"/>
      <c r="Q13" s="72" t="s">
        <v>309</v>
      </c>
      <c r="R13" s="84"/>
      <c r="S13" s="85"/>
      <c r="T13" s="86"/>
      <c r="U13" s="87"/>
    </row>
    <row r="14" spans="1:21">
      <c r="A14" s="72" t="s">
        <v>309</v>
      </c>
      <c r="B14" s="84" t="s">
        <v>145</v>
      </c>
      <c r="C14" s="108" t="s">
        <v>589</v>
      </c>
      <c r="D14" s="86" t="s">
        <v>142</v>
      </c>
      <c r="E14" s="87">
        <v>35</v>
      </c>
      <c r="I14" s="72" t="s">
        <v>309</v>
      </c>
      <c r="J14" s="35" t="s">
        <v>227</v>
      </c>
      <c r="K14" s="36" t="s">
        <v>590</v>
      </c>
      <c r="L14" s="37" t="s">
        <v>142</v>
      </c>
      <c r="M14" s="87">
        <v>30</v>
      </c>
      <c r="Q14" s="72" t="s">
        <v>309</v>
      </c>
      <c r="R14" s="84"/>
      <c r="S14" s="85"/>
      <c r="T14" s="86"/>
      <c r="U14" s="87"/>
    </row>
    <row r="15" spans="1:21">
      <c r="A15" s="72" t="s">
        <v>309</v>
      </c>
      <c r="B15" s="84"/>
      <c r="C15" s="85"/>
      <c r="D15" s="86"/>
      <c r="E15" s="87"/>
      <c r="I15" s="72" t="s">
        <v>309</v>
      </c>
      <c r="J15" s="84"/>
      <c r="K15" s="85"/>
      <c r="L15" s="86"/>
      <c r="M15" s="87"/>
      <c r="Q15" s="72" t="s">
        <v>310</v>
      </c>
      <c r="R15" s="84" t="s">
        <v>145</v>
      </c>
      <c r="S15" s="234" t="s">
        <v>591</v>
      </c>
      <c r="T15" s="86" t="s">
        <v>78</v>
      </c>
      <c r="U15" s="87">
        <v>52</v>
      </c>
    </row>
    <row r="16" spans="1:21">
      <c r="A16" s="72" t="s">
        <v>310</v>
      </c>
      <c r="B16" s="84"/>
      <c r="C16" s="85"/>
      <c r="D16" s="86"/>
      <c r="E16" s="87"/>
      <c r="I16" s="72" t="s">
        <v>310</v>
      </c>
      <c r="J16" s="84" t="s">
        <v>227</v>
      </c>
      <c r="K16" s="36" t="s">
        <v>592</v>
      </c>
      <c r="L16" s="37" t="s">
        <v>142</v>
      </c>
      <c r="M16" s="87">
        <v>52</v>
      </c>
      <c r="Q16" s="72" t="s">
        <v>235</v>
      </c>
      <c r="R16" s="84" t="s">
        <v>145</v>
      </c>
      <c r="S16" s="234" t="s">
        <v>593</v>
      </c>
      <c r="T16" s="86" t="s">
        <v>78</v>
      </c>
      <c r="U16" s="87">
        <v>25</v>
      </c>
    </row>
    <row r="17" spans="1:21">
      <c r="A17" s="72" t="s">
        <v>235</v>
      </c>
      <c r="B17" s="84" t="s">
        <v>145</v>
      </c>
      <c r="C17" s="228" t="s">
        <v>236</v>
      </c>
      <c r="D17" s="86" t="s">
        <v>142</v>
      </c>
      <c r="E17" s="87">
        <v>60</v>
      </c>
      <c r="I17" s="72" t="s">
        <v>235</v>
      </c>
      <c r="J17" s="84" t="s">
        <v>227</v>
      </c>
      <c r="K17" s="36" t="s">
        <v>594</v>
      </c>
      <c r="L17" s="37" t="s">
        <v>142</v>
      </c>
      <c r="M17" s="87">
        <v>40</v>
      </c>
      <c r="Q17" s="72" t="s">
        <v>240</v>
      </c>
      <c r="R17" s="84"/>
      <c r="S17" s="85"/>
      <c r="T17" s="86"/>
      <c r="U17" s="87"/>
    </row>
    <row r="18" spans="1:21">
      <c r="A18" s="72" t="s">
        <v>240</v>
      </c>
      <c r="B18" s="84" t="s">
        <v>145</v>
      </c>
      <c r="C18" s="227" t="s">
        <v>595</v>
      </c>
      <c r="D18" s="86" t="s">
        <v>142</v>
      </c>
      <c r="E18" s="87">
        <v>62</v>
      </c>
      <c r="I18" s="72" t="s">
        <v>240</v>
      </c>
      <c r="J18" s="84"/>
      <c r="K18" s="85"/>
      <c r="L18" s="86"/>
      <c r="M18" s="87"/>
      <c r="Q18" s="72" t="s">
        <v>240</v>
      </c>
      <c r="R18" s="84"/>
      <c r="S18" s="85"/>
      <c r="T18" s="86"/>
      <c r="U18" s="87"/>
    </row>
    <row r="19" spans="1:21">
      <c r="A19" s="72" t="s">
        <v>240</v>
      </c>
      <c r="B19" s="84" t="s">
        <v>145</v>
      </c>
      <c r="C19" s="227" t="s">
        <v>595</v>
      </c>
      <c r="D19" s="86" t="s">
        <v>142</v>
      </c>
      <c r="E19" s="87">
        <v>62</v>
      </c>
      <c r="I19" s="72" t="s">
        <v>240</v>
      </c>
      <c r="J19" s="84"/>
      <c r="K19" s="85"/>
      <c r="L19" s="86"/>
      <c r="M19" s="87"/>
      <c r="Q19" s="72" t="s">
        <v>240</v>
      </c>
      <c r="R19" s="84"/>
      <c r="S19" s="85"/>
      <c r="T19" s="86"/>
      <c r="U19" s="87"/>
    </row>
    <row r="20" spans="1:21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72" t="s">
        <v>240</v>
      </c>
      <c r="R20" s="84"/>
      <c r="S20" s="85"/>
      <c r="T20" s="86"/>
      <c r="U20" s="87"/>
    </row>
    <row r="21" spans="1:21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72" t="s">
        <v>240</v>
      </c>
      <c r="R21" s="84"/>
      <c r="S21" s="85"/>
      <c r="T21" s="86"/>
      <c r="U21" s="87"/>
    </row>
    <row r="22" spans="1:21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42"/>
      <c r="R22" s="80"/>
      <c r="S22" s="81"/>
      <c r="T22" s="82"/>
      <c r="U22" s="83"/>
    </row>
    <row r="23" spans="1:21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42"/>
      <c r="R23" s="80"/>
      <c r="S23" s="81"/>
      <c r="T23" s="82"/>
      <c r="U23" s="83"/>
    </row>
    <row r="24" spans="1:21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67" t="s">
        <v>242</v>
      </c>
      <c r="R24" s="84"/>
      <c r="S24" s="85"/>
      <c r="T24" s="86"/>
      <c r="U24" s="87">
        <v>238</v>
      </c>
    </row>
    <row r="25" spans="1:21">
      <c r="A25" s="67" t="s">
        <v>242</v>
      </c>
      <c r="B25" s="84"/>
      <c r="C25" s="85"/>
      <c r="D25" s="86"/>
      <c r="E25" s="87">
        <v>515</v>
      </c>
      <c r="I25" s="67" t="s">
        <v>242</v>
      </c>
      <c r="J25" s="84"/>
      <c r="K25" s="85"/>
      <c r="L25" s="86"/>
      <c r="M25" s="87">
        <v>386</v>
      </c>
      <c r="Q25" s="67" t="s">
        <v>243</v>
      </c>
      <c r="R25" s="84"/>
      <c r="S25" s="85"/>
      <c r="T25" s="86"/>
      <c r="U25" s="87">
        <v>5</v>
      </c>
    </row>
    <row r="26" spans="1:21">
      <c r="A26" s="67" t="s">
        <v>243</v>
      </c>
      <c r="B26" s="84"/>
      <c r="C26" s="85"/>
      <c r="D26" s="86"/>
      <c r="E26" s="87">
        <v>7</v>
      </c>
      <c r="I26" s="67" t="s">
        <v>243</v>
      </c>
      <c r="J26" s="84"/>
      <c r="K26" s="85"/>
      <c r="L26" s="86"/>
      <c r="M26" s="87">
        <v>6</v>
      </c>
    </row>
    <row r="28" spans="1:21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42"/>
      <c r="J28" s="63" t="s">
        <v>215</v>
      </c>
      <c r="K28" s="65" t="s">
        <v>216</v>
      </c>
      <c r="L28" s="66" t="s">
        <v>217</v>
      </c>
      <c r="M28" s="45" t="s">
        <v>218</v>
      </c>
      <c r="Q28" s="42"/>
      <c r="R28" s="6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67" t="s">
        <v>219</v>
      </c>
      <c r="R29" s="68"/>
      <c r="S29" s="69"/>
      <c r="T29" s="70"/>
      <c r="U29" s="71"/>
    </row>
    <row r="30" spans="1:21">
      <c r="A30" s="72" t="s">
        <v>220</v>
      </c>
      <c r="B30" s="73" t="s">
        <v>145</v>
      </c>
      <c r="C30" s="227" t="s">
        <v>581</v>
      </c>
      <c r="D30" s="75" t="s">
        <v>142</v>
      </c>
      <c r="E30" s="76">
        <v>40</v>
      </c>
      <c r="I30" s="72" t="s">
        <v>220</v>
      </c>
      <c r="J30" s="26" t="s">
        <v>221</v>
      </c>
      <c r="K30" s="74" t="s">
        <v>582</v>
      </c>
      <c r="L30" s="28" t="s">
        <v>142</v>
      </c>
      <c r="M30" s="76">
        <v>21</v>
      </c>
      <c r="Q30" s="72" t="s">
        <v>220</v>
      </c>
      <c r="R30" s="73" t="s">
        <v>100</v>
      </c>
      <c r="S30" s="256" t="s">
        <v>580</v>
      </c>
      <c r="T30" s="75" t="s">
        <v>78</v>
      </c>
      <c r="U30" s="76">
        <v>21</v>
      </c>
    </row>
    <row r="31" spans="1:21" ht="30.75">
      <c r="A31" s="72" t="s">
        <v>226</v>
      </c>
      <c r="B31" s="73" t="s">
        <v>145</v>
      </c>
      <c r="C31" s="228" t="s">
        <v>596</v>
      </c>
      <c r="D31" s="78" t="s">
        <v>142</v>
      </c>
      <c r="E31" s="76">
        <v>81</v>
      </c>
      <c r="I31" s="72" t="s">
        <v>226</v>
      </c>
      <c r="J31" s="73" t="s">
        <v>585</v>
      </c>
      <c r="K31" s="27" t="s">
        <v>597</v>
      </c>
      <c r="L31" s="229" t="s">
        <v>142</v>
      </c>
      <c r="M31" s="76">
        <v>113</v>
      </c>
      <c r="Q31" s="72" t="s">
        <v>226</v>
      </c>
      <c r="R31" s="73" t="s">
        <v>100</v>
      </c>
      <c r="S31" s="257" t="s">
        <v>583</v>
      </c>
      <c r="T31" s="78" t="s">
        <v>78</v>
      </c>
      <c r="U31" s="76">
        <v>70</v>
      </c>
    </row>
    <row r="32" spans="1:21" ht="30.75">
      <c r="A32" s="72" t="s">
        <v>232</v>
      </c>
      <c r="B32" s="73" t="s">
        <v>145</v>
      </c>
      <c r="C32" s="228" t="s">
        <v>596</v>
      </c>
      <c r="D32" s="78" t="s">
        <v>142</v>
      </c>
      <c r="E32" s="76">
        <v>81</v>
      </c>
      <c r="I32" s="72" t="s">
        <v>232</v>
      </c>
      <c r="J32" s="73" t="s">
        <v>585</v>
      </c>
      <c r="K32" s="27" t="s">
        <v>597</v>
      </c>
      <c r="L32" s="229" t="s">
        <v>142</v>
      </c>
      <c r="M32" s="76">
        <v>113</v>
      </c>
      <c r="Q32" s="72" t="s">
        <v>232</v>
      </c>
      <c r="R32" s="73" t="s">
        <v>100</v>
      </c>
      <c r="S32" s="257" t="s">
        <v>583</v>
      </c>
      <c r="T32" s="78" t="s">
        <v>78</v>
      </c>
      <c r="U32" s="76">
        <v>70</v>
      </c>
    </row>
    <row r="33" spans="1:21">
      <c r="A33" s="79"/>
      <c r="B33" s="80"/>
      <c r="C33" s="81"/>
      <c r="D33" s="82"/>
      <c r="E33" s="83"/>
      <c r="I33" s="79"/>
      <c r="J33" s="80"/>
      <c r="K33" s="81"/>
      <c r="L33" s="82"/>
      <c r="M33" s="83"/>
      <c r="Q33" s="79"/>
      <c r="R33" s="80"/>
      <c r="S33" s="81"/>
      <c r="T33" s="82"/>
      <c r="U33" s="83"/>
    </row>
    <row r="34" spans="1:21">
      <c r="A34" s="67" t="s">
        <v>234</v>
      </c>
      <c r="B34" s="80"/>
      <c r="C34" s="81"/>
      <c r="D34" s="82"/>
      <c r="E34" s="83"/>
      <c r="I34" s="67" t="s">
        <v>234</v>
      </c>
      <c r="J34" s="80"/>
      <c r="K34" s="81"/>
      <c r="L34" s="82"/>
      <c r="M34" s="83"/>
      <c r="Q34" s="67" t="s">
        <v>234</v>
      </c>
      <c r="R34" s="80"/>
      <c r="S34" s="81"/>
      <c r="T34" s="82"/>
      <c r="U34" s="83"/>
    </row>
    <row r="35" spans="1:21">
      <c r="A35" s="72" t="s">
        <v>303</v>
      </c>
      <c r="B35" s="84"/>
      <c r="C35" s="85"/>
      <c r="D35" s="86"/>
      <c r="E35" s="87"/>
      <c r="I35" s="72" t="s">
        <v>303</v>
      </c>
      <c r="J35" s="84"/>
      <c r="K35" s="85"/>
      <c r="L35" s="86"/>
      <c r="M35" s="87"/>
      <c r="Q35" s="72" t="s">
        <v>303</v>
      </c>
      <c r="R35" s="84"/>
      <c r="S35" s="85"/>
      <c r="T35" s="86"/>
      <c r="U35" s="87"/>
    </row>
    <row r="36" spans="1:21">
      <c r="A36" s="72" t="s">
        <v>303</v>
      </c>
      <c r="B36" s="84"/>
      <c r="C36" s="85"/>
      <c r="D36" s="86"/>
      <c r="E36" s="87"/>
      <c r="I36" s="72" t="s">
        <v>303</v>
      </c>
      <c r="J36" s="84"/>
      <c r="K36" s="85"/>
      <c r="L36" s="86"/>
      <c r="M36" s="87"/>
      <c r="Q36" s="72" t="s">
        <v>303</v>
      </c>
      <c r="R36" s="84"/>
      <c r="S36" s="85"/>
      <c r="T36" s="86"/>
      <c r="U36" s="87"/>
    </row>
    <row r="37" spans="1:21">
      <c r="A37" s="72" t="s">
        <v>305</v>
      </c>
      <c r="B37" s="84"/>
      <c r="C37" s="85"/>
      <c r="D37" s="86"/>
      <c r="E37" s="87"/>
      <c r="I37" s="72" t="s">
        <v>305</v>
      </c>
      <c r="J37" s="84"/>
      <c r="K37" s="85"/>
      <c r="L37" s="86"/>
      <c r="M37" s="87"/>
      <c r="Q37" s="72" t="s">
        <v>305</v>
      </c>
      <c r="R37" s="84"/>
      <c r="S37" s="85"/>
      <c r="T37" s="86"/>
      <c r="U37" s="87"/>
    </row>
    <row r="38" spans="1:21">
      <c r="A38" s="72" t="s">
        <v>306</v>
      </c>
      <c r="B38" s="84"/>
      <c r="C38" s="85"/>
      <c r="D38" s="86"/>
      <c r="E38" s="87"/>
      <c r="I38" s="72" t="s">
        <v>306</v>
      </c>
      <c r="J38" s="84"/>
      <c r="K38" s="85"/>
      <c r="L38" s="86"/>
      <c r="M38" s="87"/>
      <c r="Q38" s="72" t="s">
        <v>306</v>
      </c>
      <c r="R38" s="84"/>
      <c r="S38" s="85"/>
      <c r="T38" s="86"/>
      <c r="U38" s="87"/>
    </row>
    <row r="39" spans="1:21">
      <c r="A39" s="72" t="s">
        <v>309</v>
      </c>
      <c r="B39" s="84"/>
      <c r="C39" s="85"/>
      <c r="D39" s="86"/>
      <c r="E39" s="87"/>
      <c r="I39" s="72" t="s">
        <v>309</v>
      </c>
      <c r="J39" s="35" t="s">
        <v>221</v>
      </c>
      <c r="K39" s="36" t="s">
        <v>590</v>
      </c>
      <c r="L39" s="37" t="s">
        <v>142</v>
      </c>
      <c r="M39" s="87">
        <v>21</v>
      </c>
      <c r="Q39" s="72" t="s">
        <v>309</v>
      </c>
      <c r="R39" s="84"/>
      <c r="S39" s="85"/>
      <c r="T39" s="86"/>
      <c r="U39" s="87"/>
    </row>
    <row r="40" spans="1:21">
      <c r="A40" s="72" t="s">
        <v>309</v>
      </c>
      <c r="B40" s="84"/>
      <c r="C40" s="85"/>
      <c r="D40" s="86"/>
      <c r="E40" s="87"/>
      <c r="I40" s="72" t="s">
        <v>309</v>
      </c>
      <c r="J40" s="84"/>
      <c r="K40" s="85"/>
      <c r="L40" s="86"/>
      <c r="M40" s="87"/>
      <c r="Q40" s="72" t="s">
        <v>309</v>
      </c>
      <c r="R40" s="84"/>
      <c r="S40" s="85"/>
      <c r="T40" s="86"/>
      <c r="U40" s="87"/>
    </row>
    <row r="41" spans="1:21">
      <c r="A41" s="72" t="s">
        <v>375</v>
      </c>
      <c r="B41" s="84"/>
      <c r="C41" s="85"/>
      <c r="D41" s="86"/>
      <c r="E41" s="87"/>
      <c r="I41" s="72" t="s">
        <v>375</v>
      </c>
      <c r="J41" s="84"/>
      <c r="K41" s="85"/>
      <c r="L41" s="86"/>
      <c r="M41" s="87"/>
      <c r="Q41" s="72" t="s">
        <v>375</v>
      </c>
      <c r="R41" s="84" t="s">
        <v>145</v>
      </c>
      <c r="S41" s="234" t="s">
        <v>365</v>
      </c>
      <c r="T41" s="86" t="s">
        <v>78</v>
      </c>
      <c r="U41" s="87">
        <v>50</v>
      </c>
    </row>
    <row r="42" spans="1:21">
      <c r="A42" s="72" t="s">
        <v>235</v>
      </c>
      <c r="B42" s="84"/>
      <c r="C42" s="85"/>
      <c r="D42" s="86"/>
      <c r="E42" s="87"/>
      <c r="I42" s="72" t="s">
        <v>235</v>
      </c>
      <c r="J42" s="84"/>
      <c r="K42" s="85"/>
      <c r="L42" s="86"/>
      <c r="M42" s="87"/>
      <c r="Q42" s="72" t="s">
        <v>235</v>
      </c>
      <c r="R42" s="84"/>
      <c r="S42" s="85"/>
      <c r="T42" s="86"/>
      <c r="U42" s="87"/>
    </row>
    <row r="43" spans="1:21">
      <c r="A43" s="72" t="s">
        <v>240</v>
      </c>
      <c r="B43" s="84" t="s">
        <v>145</v>
      </c>
      <c r="C43" s="227" t="s">
        <v>595</v>
      </c>
      <c r="D43" s="86" t="s">
        <v>142</v>
      </c>
      <c r="E43" s="87">
        <v>62</v>
      </c>
      <c r="I43" s="72" t="s">
        <v>240</v>
      </c>
      <c r="J43" s="84"/>
      <c r="K43" s="85"/>
      <c r="L43" s="86"/>
      <c r="M43" s="87"/>
      <c r="Q43" s="72" t="s">
        <v>240</v>
      </c>
      <c r="R43" s="84"/>
      <c r="S43" s="85"/>
      <c r="T43" s="86"/>
      <c r="U43" s="87"/>
    </row>
    <row r="44" spans="1:21">
      <c r="A44" s="72" t="s">
        <v>240</v>
      </c>
      <c r="B44" s="84"/>
      <c r="C44" s="85"/>
      <c r="D44" s="86"/>
      <c r="E44" s="87"/>
      <c r="I44" s="72" t="s">
        <v>240</v>
      </c>
      <c r="J44" s="84"/>
      <c r="K44" s="85"/>
      <c r="L44" s="86"/>
      <c r="M44" s="87"/>
      <c r="Q44" s="72" t="s">
        <v>240</v>
      </c>
      <c r="R44" s="84"/>
      <c r="S44" s="85"/>
      <c r="T44" s="86"/>
      <c r="U44" s="87"/>
    </row>
    <row r="45" spans="1:21">
      <c r="A45" s="72" t="s">
        <v>240</v>
      </c>
      <c r="B45" s="84"/>
      <c r="C45" s="85"/>
      <c r="D45" s="86"/>
      <c r="E45" s="87"/>
      <c r="I45" s="72" t="s">
        <v>240</v>
      </c>
      <c r="J45" s="84"/>
      <c r="K45" s="85"/>
      <c r="L45" s="86"/>
      <c r="M45" s="87"/>
      <c r="Q45" s="72" t="s">
        <v>240</v>
      </c>
      <c r="R45" s="84"/>
      <c r="S45" s="85"/>
      <c r="T45" s="86"/>
      <c r="U45" s="87"/>
    </row>
    <row r="46" spans="1:21">
      <c r="A46" s="72" t="s">
        <v>240</v>
      </c>
      <c r="B46" s="84"/>
      <c r="C46" s="85"/>
      <c r="D46" s="86"/>
      <c r="E46" s="87"/>
      <c r="I46" s="72" t="s">
        <v>240</v>
      </c>
      <c r="J46" s="84"/>
      <c r="K46" s="85"/>
      <c r="L46" s="86"/>
      <c r="M46" s="87"/>
      <c r="Q46" s="72" t="s">
        <v>240</v>
      </c>
      <c r="R46" s="84"/>
      <c r="S46" s="85"/>
      <c r="T46" s="86"/>
      <c r="U46" s="87"/>
    </row>
    <row r="47" spans="1:21">
      <c r="A47" s="72" t="s">
        <v>240</v>
      </c>
      <c r="B47" s="84"/>
      <c r="C47" s="85"/>
      <c r="D47" s="86"/>
      <c r="E47" s="87"/>
      <c r="I47" s="72" t="s">
        <v>240</v>
      </c>
      <c r="J47" s="84"/>
      <c r="K47" s="85"/>
      <c r="L47" s="86"/>
      <c r="M47" s="87"/>
      <c r="Q47" s="72" t="s">
        <v>240</v>
      </c>
      <c r="R47" s="84"/>
      <c r="S47" s="85"/>
      <c r="T47" s="86"/>
      <c r="U47" s="87"/>
    </row>
    <row r="48" spans="1:21">
      <c r="A48" s="42"/>
      <c r="B48" s="80"/>
      <c r="C48" s="81"/>
      <c r="D48" s="82"/>
      <c r="E48" s="83"/>
      <c r="I48" s="42"/>
      <c r="J48" s="80"/>
      <c r="K48" s="81"/>
      <c r="L48" s="82"/>
      <c r="M48" s="83"/>
      <c r="Q48" s="42"/>
      <c r="R48" s="80"/>
      <c r="S48" s="81"/>
      <c r="T48" s="82"/>
      <c r="U48" s="83"/>
    </row>
    <row r="49" spans="1:21">
      <c r="A49" s="42"/>
      <c r="B49" s="80"/>
      <c r="C49" s="81"/>
      <c r="D49" s="82"/>
      <c r="E49" s="83"/>
      <c r="I49" s="42"/>
      <c r="J49" s="80"/>
      <c r="K49" s="81"/>
      <c r="L49" s="82"/>
      <c r="M49" s="83"/>
      <c r="Q49" s="42"/>
      <c r="R49" s="80"/>
      <c r="S49" s="81"/>
      <c r="T49" s="82"/>
      <c r="U49" s="83"/>
    </row>
    <row r="50" spans="1:21">
      <c r="A50" s="67" t="s">
        <v>242</v>
      </c>
      <c r="B50" s="84"/>
      <c r="C50" s="85"/>
      <c r="D50" s="86"/>
      <c r="E50" s="87">
        <v>264</v>
      </c>
      <c r="I50" s="67" t="s">
        <v>242</v>
      </c>
      <c r="J50" s="84"/>
      <c r="K50" s="85"/>
      <c r="L50" s="86"/>
      <c r="M50" s="87">
        <v>268</v>
      </c>
      <c r="Q50" s="67" t="s">
        <v>242</v>
      </c>
      <c r="R50" s="84"/>
      <c r="S50" s="85"/>
      <c r="T50" s="86"/>
      <c r="U50" s="87">
        <v>211</v>
      </c>
    </row>
    <row r="51" spans="1:21">
      <c r="A51" s="67" t="s">
        <v>243</v>
      </c>
      <c r="B51" s="84"/>
      <c r="C51" s="85"/>
      <c r="D51" s="86"/>
      <c r="E51" s="87">
        <v>4</v>
      </c>
      <c r="I51" s="67" t="s">
        <v>243</v>
      </c>
      <c r="J51" s="84"/>
      <c r="K51" s="85"/>
      <c r="L51" s="86"/>
      <c r="M51" s="87">
        <v>4</v>
      </c>
      <c r="Q51" s="67" t="s">
        <v>243</v>
      </c>
      <c r="R51" s="84"/>
      <c r="S51" s="85"/>
      <c r="T51" s="86"/>
      <c r="U51" s="87">
        <v>4</v>
      </c>
    </row>
    <row r="53" spans="1:21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42"/>
      <c r="J53" s="43" t="s">
        <v>215</v>
      </c>
      <c r="K53" s="65" t="s">
        <v>216</v>
      </c>
      <c r="L53" s="66" t="s">
        <v>217</v>
      </c>
      <c r="M53" s="45" t="s">
        <v>218</v>
      </c>
      <c r="Q53" s="42"/>
      <c r="R53" s="43" t="s">
        <v>215</v>
      </c>
      <c r="S53" s="65" t="s">
        <v>216</v>
      </c>
      <c r="T53" s="66" t="s">
        <v>217</v>
      </c>
      <c r="U53" s="45" t="s">
        <v>218</v>
      </c>
    </row>
    <row r="54" spans="1:21">
      <c r="A54" s="67" t="s">
        <v>219</v>
      </c>
      <c r="B54" s="68"/>
      <c r="C54" s="69"/>
      <c r="D54" s="70"/>
      <c r="E54" s="71"/>
      <c r="I54" s="67" t="s">
        <v>219</v>
      </c>
      <c r="J54" s="68"/>
      <c r="K54" s="69"/>
      <c r="L54" s="70"/>
      <c r="M54" s="71"/>
      <c r="Q54" s="67" t="s">
        <v>219</v>
      </c>
      <c r="R54" s="68"/>
      <c r="S54" s="69"/>
      <c r="T54" s="70"/>
      <c r="U54" s="71"/>
    </row>
    <row r="55" spans="1:21" ht="45.75">
      <c r="A55" s="88" t="s">
        <v>259</v>
      </c>
      <c r="B55" s="73" t="s">
        <v>145</v>
      </c>
      <c r="C55" s="227" t="s">
        <v>598</v>
      </c>
      <c r="D55" s="75" t="s">
        <v>142</v>
      </c>
      <c r="E55" s="76">
        <v>105</v>
      </c>
      <c r="I55" s="72" t="s">
        <v>220</v>
      </c>
      <c r="J55" s="26" t="s">
        <v>221</v>
      </c>
      <c r="K55" s="41" t="s">
        <v>582</v>
      </c>
      <c r="L55" s="28" t="s">
        <v>142</v>
      </c>
      <c r="M55" s="76">
        <v>21</v>
      </c>
      <c r="Q55" s="72" t="s">
        <v>220</v>
      </c>
      <c r="R55" s="73" t="s">
        <v>100</v>
      </c>
      <c r="S55" s="256" t="s">
        <v>222</v>
      </c>
      <c r="T55" s="75" t="s">
        <v>78</v>
      </c>
      <c r="U55" s="76">
        <v>21</v>
      </c>
    </row>
    <row r="56" spans="1:21" ht="30.75">
      <c r="A56" s="88" t="s">
        <v>261</v>
      </c>
      <c r="B56" s="73" t="s">
        <v>145</v>
      </c>
      <c r="C56" s="227" t="s">
        <v>599</v>
      </c>
      <c r="D56" s="78" t="s">
        <v>142</v>
      </c>
      <c r="E56" s="76">
        <v>215</v>
      </c>
      <c r="I56" s="72" t="s">
        <v>250</v>
      </c>
      <c r="J56" s="73"/>
      <c r="K56" s="73"/>
      <c r="L56" s="78"/>
      <c r="M56" s="76"/>
      <c r="Q56" s="72" t="s">
        <v>250</v>
      </c>
      <c r="R56" s="73" t="s">
        <v>145</v>
      </c>
      <c r="S56" s="267" t="s">
        <v>600</v>
      </c>
      <c r="T56" s="78" t="s">
        <v>78</v>
      </c>
      <c r="U56" s="76">
        <v>75</v>
      </c>
    </row>
    <row r="57" spans="1:21">
      <c r="A57" s="79"/>
      <c r="B57" s="80"/>
      <c r="C57" s="81"/>
      <c r="D57" s="82"/>
      <c r="E57" s="83"/>
      <c r="I57" s="79"/>
      <c r="J57" s="80"/>
      <c r="K57" s="81"/>
      <c r="L57" s="82"/>
      <c r="M57" s="83"/>
      <c r="Q57" s="79"/>
      <c r="R57" s="80"/>
      <c r="S57" s="81"/>
      <c r="T57" s="82"/>
      <c r="U57" s="83"/>
    </row>
    <row r="58" spans="1:21">
      <c r="A58" s="67" t="s">
        <v>234</v>
      </c>
      <c r="B58" s="80"/>
      <c r="C58" s="81"/>
      <c r="D58" s="82"/>
      <c r="E58" s="83"/>
      <c r="I58" s="67" t="s">
        <v>234</v>
      </c>
      <c r="J58" s="80"/>
      <c r="K58" s="81"/>
      <c r="L58" s="82"/>
      <c r="M58" s="83"/>
      <c r="Q58" s="67" t="s">
        <v>234</v>
      </c>
      <c r="R58" s="80"/>
      <c r="S58" s="81"/>
      <c r="T58" s="82"/>
      <c r="U58" s="83"/>
    </row>
    <row r="59" spans="1:21" ht="30.75">
      <c r="A59" s="88" t="s">
        <v>261</v>
      </c>
      <c r="B59" s="84"/>
      <c r="C59" s="85"/>
      <c r="D59" s="86"/>
      <c r="E59" s="87"/>
      <c r="I59" s="72" t="s">
        <v>250</v>
      </c>
      <c r="J59" s="35" t="s">
        <v>601</v>
      </c>
      <c r="K59" s="35" t="s">
        <v>602</v>
      </c>
      <c r="L59" s="230" t="s">
        <v>142</v>
      </c>
      <c r="M59" s="87">
        <v>55</v>
      </c>
      <c r="Q59" s="72" t="s">
        <v>250</v>
      </c>
      <c r="R59" s="84" t="s">
        <v>145</v>
      </c>
      <c r="S59" s="125" t="s">
        <v>603</v>
      </c>
      <c r="T59" s="89" t="s">
        <v>78</v>
      </c>
      <c r="U59" s="87">
        <v>100</v>
      </c>
    </row>
    <row r="60" spans="1:21" ht="30.75">
      <c r="A60" s="88" t="s">
        <v>261</v>
      </c>
      <c r="B60" s="84"/>
      <c r="C60" s="85"/>
      <c r="D60" s="86"/>
      <c r="E60" s="87"/>
      <c r="I60" s="72" t="s">
        <v>250</v>
      </c>
      <c r="J60" s="84" t="s">
        <v>601</v>
      </c>
      <c r="K60" s="36" t="s">
        <v>604</v>
      </c>
      <c r="L60" s="37" t="s">
        <v>142</v>
      </c>
      <c r="M60" s="87">
        <v>45</v>
      </c>
      <c r="Q60" s="72" t="s">
        <v>250</v>
      </c>
      <c r="R60" s="84"/>
      <c r="S60" s="85"/>
      <c r="T60" s="86"/>
      <c r="U60" s="87"/>
    </row>
    <row r="61" spans="1:21" ht="30.75">
      <c r="A61" s="88" t="s">
        <v>261</v>
      </c>
      <c r="B61" s="84"/>
      <c r="C61" s="85"/>
      <c r="D61" s="86"/>
      <c r="E61" s="87"/>
      <c r="I61" s="72" t="s">
        <v>250</v>
      </c>
      <c r="J61" s="84" t="s">
        <v>601</v>
      </c>
      <c r="K61" s="85" t="s">
        <v>493</v>
      </c>
      <c r="L61" s="37" t="s">
        <v>142</v>
      </c>
      <c r="M61" s="87">
        <v>45</v>
      </c>
      <c r="Q61" s="72" t="s">
        <v>250</v>
      </c>
      <c r="R61" s="84"/>
      <c r="S61" s="85"/>
      <c r="T61" s="86"/>
      <c r="U61" s="87"/>
    </row>
    <row r="62" spans="1:21">
      <c r="A62" s="42"/>
      <c r="B62" s="80"/>
      <c r="C62" s="81"/>
      <c r="D62" s="82"/>
      <c r="E62" s="83"/>
      <c r="I62" s="72" t="s">
        <v>271</v>
      </c>
      <c r="J62" s="84"/>
      <c r="K62" s="85"/>
      <c r="L62" s="86"/>
      <c r="M62" s="87"/>
      <c r="Q62" s="72" t="s">
        <v>271</v>
      </c>
      <c r="R62" s="84"/>
      <c r="S62" s="85"/>
      <c r="T62" s="86"/>
      <c r="U62" s="87"/>
    </row>
    <row r="63" spans="1:21">
      <c r="A63" s="42"/>
      <c r="B63" s="80"/>
      <c r="C63" s="81"/>
      <c r="D63" s="82"/>
      <c r="E63" s="83"/>
      <c r="I63" s="72" t="s">
        <v>271</v>
      </c>
      <c r="J63" s="84"/>
      <c r="K63" s="85"/>
      <c r="L63" s="86"/>
      <c r="M63" s="87"/>
      <c r="Q63" s="72" t="s">
        <v>271</v>
      </c>
      <c r="R63" s="84"/>
      <c r="S63" s="85"/>
      <c r="T63" s="86"/>
      <c r="U63" s="87"/>
    </row>
    <row r="64" spans="1:21">
      <c r="A64" s="67" t="s">
        <v>242</v>
      </c>
      <c r="B64" s="84"/>
      <c r="C64" s="85"/>
      <c r="D64" s="86"/>
      <c r="E64" s="87">
        <v>320</v>
      </c>
      <c r="I64" s="72" t="s">
        <v>271</v>
      </c>
      <c r="J64" s="84"/>
      <c r="K64" s="85"/>
      <c r="L64" s="86"/>
      <c r="M64" s="87"/>
      <c r="Q64" s="72" t="s">
        <v>271</v>
      </c>
      <c r="R64" s="84"/>
      <c r="S64" s="85"/>
      <c r="T64" s="86"/>
      <c r="U64" s="87"/>
    </row>
    <row r="65" spans="1:21">
      <c r="A65" s="67" t="s">
        <v>243</v>
      </c>
      <c r="B65" s="84"/>
      <c r="C65" s="85"/>
      <c r="D65" s="86"/>
      <c r="E65" s="87">
        <v>2</v>
      </c>
      <c r="I65" s="72" t="s">
        <v>271</v>
      </c>
      <c r="J65" s="84"/>
      <c r="K65" s="85"/>
      <c r="L65" s="86"/>
      <c r="M65" s="87"/>
      <c r="Q65" s="72" t="s">
        <v>271</v>
      </c>
      <c r="R65" s="84"/>
      <c r="S65" s="85"/>
      <c r="T65" s="86"/>
      <c r="U65" s="87"/>
    </row>
    <row r="66" spans="1:21">
      <c r="I66" s="42"/>
      <c r="J66" s="80"/>
      <c r="K66" s="81"/>
      <c r="L66" s="82"/>
      <c r="M66" s="83"/>
      <c r="Q66" s="42"/>
      <c r="R66" s="80"/>
      <c r="S66" s="81"/>
      <c r="T66" s="82"/>
      <c r="U66" s="83"/>
    </row>
    <row r="67" spans="1:21" ht="76.5">
      <c r="A67" s="90"/>
      <c r="B67" s="91"/>
      <c r="C67" s="92" t="s">
        <v>274</v>
      </c>
      <c r="D67" s="103"/>
      <c r="I67" s="42"/>
      <c r="J67" s="80"/>
      <c r="K67" s="81"/>
      <c r="L67" s="82"/>
      <c r="M67" s="83"/>
      <c r="Q67" s="42"/>
      <c r="R67" s="80"/>
      <c r="S67" s="81"/>
      <c r="T67" s="82"/>
      <c r="U67" s="83"/>
    </row>
    <row r="68" spans="1:21">
      <c r="A68" s="20" t="s">
        <v>605</v>
      </c>
      <c r="B68" s="73"/>
      <c r="C68" s="81"/>
      <c r="D68" s="103"/>
      <c r="I68" s="67" t="s">
        <v>242</v>
      </c>
      <c r="J68" s="84"/>
      <c r="K68" s="85"/>
      <c r="L68" s="86"/>
      <c r="M68" s="87">
        <v>166</v>
      </c>
      <c r="Q68" s="67" t="s">
        <v>242</v>
      </c>
      <c r="R68" s="84"/>
      <c r="S68" s="85"/>
      <c r="T68" s="86"/>
      <c r="U68" s="87">
        <v>196</v>
      </c>
    </row>
    <row r="69" spans="1:21">
      <c r="A69" s="20" t="s">
        <v>606</v>
      </c>
      <c r="B69" s="73"/>
      <c r="C69" s="81"/>
      <c r="D69" s="103"/>
      <c r="I69" s="67" t="s">
        <v>243</v>
      </c>
      <c r="J69" s="84"/>
      <c r="K69" s="85"/>
      <c r="L69" s="86"/>
      <c r="M69" s="87">
        <v>4</v>
      </c>
      <c r="Q69" s="67" t="s">
        <v>243</v>
      </c>
      <c r="R69" s="84"/>
      <c r="S69" s="85"/>
      <c r="T69" s="86"/>
      <c r="U69" s="87">
        <v>3</v>
      </c>
    </row>
    <row r="70" spans="1:21">
      <c r="A70" s="20" t="s">
        <v>607</v>
      </c>
      <c r="B70" s="73"/>
      <c r="C70" s="81"/>
      <c r="D70" s="103"/>
    </row>
    <row r="71" spans="1:21" ht="45.75">
      <c r="A71" s="20" t="s">
        <v>608</v>
      </c>
      <c r="B71" s="73"/>
      <c r="C71" s="81"/>
      <c r="D71" s="103"/>
      <c r="I71" s="42"/>
      <c r="J71" s="43" t="s">
        <v>215</v>
      </c>
      <c r="K71" s="65" t="s">
        <v>216</v>
      </c>
      <c r="L71" s="66" t="s">
        <v>217</v>
      </c>
      <c r="M71" s="45" t="s">
        <v>218</v>
      </c>
      <c r="Q71" s="42"/>
      <c r="R71" s="43" t="s">
        <v>215</v>
      </c>
      <c r="S71" s="65" t="s">
        <v>216</v>
      </c>
      <c r="T71" s="66" t="s">
        <v>217</v>
      </c>
      <c r="U71" s="45" t="s">
        <v>218</v>
      </c>
    </row>
    <row r="72" spans="1:21">
      <c r="A72" s="93"/>
      <c r="B72" s="80"/>
      <c r="C72" s="81"/>
      <c r="D72" s="103"/>
      <c r="I72" s="67" t="s">
        <v>219</v>
      </c>
      <c r="J72" s="68"/>
      <c r="K72" s="69"/>
      <c r="L72" s="70"/>
      <c r="M72" s="71"/>
      <c r="Q72" s="67" t="s">
        <v>219</v>
      </c>
      <c r="R72" s="68"/>
      <c r="S72" s="69"/>
      <c r="T72" s="70"/>
      <c r="U72" s="71"/>
    </row>
    <row r="73" spans="1:21" ht="106.5">
      <c r="A73" s="94" t="s">
        <v>284</v>
      </c>
      <c r="B73" s="94"/>
      <c r="C73" s="94"/>
      <c r="D73" s="103"/>
      <c r="I73" s="88" t="s">
        <v>259</v>
      </c>
      <c r="J73" s="231" t="s">
        <v>609</v>
      </c>
      <c r="K73" s="27" t="s">
        <v>610</v>
      </c>
      <c r="L73" s="28" t="s">
        <v>142</v>
      </c>
      <c r="M73" s="76">
        <v>145</v>
      </c>
      <c r="Q73" s="88" t="s">
        <v>259</v>
      </c>
      <c r="R73" s="73" t="s">
        <v>145</v>
      </c>
      <c r="S73" s="257" t="s">
        <v>611</v>
      </c>
      <c r="T73" s="75" t="s">
        <v>78</v>
      </c>
      <c r="U73" s="76">
        <v>205</v>
      </c>
    </row>
    <row r="74" spans="1:21" ht="45.75">
      <c r="A74" s="94"/>
      <c r="B74" s="94" t="s">
        <v>285</v>
      </c>
      <c r="C74" s="94" t="s">
        <v>15</v>
      </c>
      <c r="D74" s="94" t="s">
        <v>5</v>
      </c>
      <c r="I74" s="88" t="s">
        <v>261</v>
      </c>
      <c r="J74" s="232" t="s">
        <v>227</v>
      </c>
      <c r="K74" s="27" t="s">
        <v>610</v>
      </c>
      <c r="L74" s="229" t="s">
        <v>142</v>
      </c>
      <c r="M74" s="76">
        <v>135</v>
      </c>
      <c r="Q74" s="88" t="s">
        <v>261</v>
      </c>
      <c r="R74" s="73" t="s">
        <v>145</v>
      </c>
      <c r="S74" s="257" t="s">
        <v>612</v>
      </c>
      <c r="T74" s="78" t="s">
        <v>78</v>
      </c>
      <c r="U74" s="76">
        <v>125</v>
      </c>
    </row>
    <row r="75" spans="1:21">
      <c r="A75" s="95" t="s">
        <v>393</v>
      </c>
      <c r="B75" s="95">
        <v>0</v>
      </c>
      <c r="C75" s="95">
        <v>0</v>
      </c>
      <c r="D75" s="96"/>
      <c r="I75" s="79"/>
      <c r="J75" s="80"/>
      <c r="K75" s="81"/>
      <c r="L75" s="82"/>
      <c r="M75" s="83"/>
      <c r="Q75" s="79"/>
      <c r="R75" s="80"/>
      <c r="S75" s="81"/>
      <c r="T75" s="82"/>
      <c r="U75" s="83"/>
    </row>
    <row r="76" spans="1:21">
      <c r="A76" s="96" t="s">
        <v>286</v>
      </c>
      <c r="B76" s="96">
        <v>515</v>
      </c>
      <c r="C76" s="96">
        <v>7</v>
      </c>
      <c r="D76" s="96"/>
      <c r="I76" s="67" t="s">
        <v>234</v>
      </c>
      <c r="J76" s="80"/>
      <c r="K76" s="81"/>
      <c r="L76" s="82"/>
      <c r="M76" s="83"/>
      <c r="Q76" s="67" t="s">
        <v>234</v>
      </c>
      <c r="R76" s="80"/>
      <c r="S76" s="81"/>
      <c r="T76" s="82"/>
      <c r="U76" s="83"/>
    </row>
    <row r="77" spans="1:21" ht="30.75">
      <c r="A77" s="96" t="s">
        <v>287</v>
      </c>
      <c r="B77" s="96">
        <v>264</v>
      </c>
      <c r="C77" s="96">
        <v>4</v>
      </c>
      <c r="D77" s="96"/>
      <c r="I77" s="88" t="s">
        <v>261</v>
      </c>
      <c r="J77" s="84"/>
      <c r="K77" s="85"/>
      <c r="L77" s="86"/>
      <c r="M77" s="87"/>
      <c r="Q77" s="88" t="s">
        <v>261</v>
      </c>
      <c r="R77" s="84" t="s">
        <v>145</v>
      </c>
      <c r="S77" s="234" t="s">
        <v>613</v>
      </c>
      <c r="T77" s="86" t="s">
        <v>78</v>
      </c>
      <c r="U77" s="87">
        <v>125</v>
      </c>
    </row>
    <row r="78" spans="1:21" ht="30.75">
      <c r="A78" s="96" t="s">
        <v>289</v>
      </c>
      <c r="B78" s="96">
        <v>0</v>
      </c>
      <c r="C78" s="96">
        <v>0</v>
      </c>
      <c r="D78" s="96"/>
      <c r="I78" s="88" t="s">
        <v>261</v>
      </c>
      <c r="J78" s="84"/>
      <c r="K78" s="85"/>
      <c r="L78" s="86"/>
      <c r="M78" s="87"/>
      <c r="Q78" s="88" t="s">
        <v>261</v>
      </c>
      <c r="R78" s="84"/>
      <c r="S78" s="85"/>
      <c r="T78" s="86"/>
      <c r="U78" s="87"/>
    </row>
    <row r="79" spans="1:21" ht="30.75">
      <c r="A79" s="96" t="s">
        <v>396</v>
      </c>
      <c r="B79" s="96">
        <v>0</v>
      </c>
      <c r="C79" s="96">
        <v>0</v>
      </c>
      <c r="D79" s="96"/>
      <c r="I79" s="88" t="s">
        <v>261</v>
      </c>
      <c r="J79" s="84"/>
      <c r="K79" s="85"/>
      <c r="L79" s="86"/>
      <c r="M79" s="87"/>
      <c r="Q79" s="88" t="s">
        <v>261</v>
      </c>
      <c r="R79" s="84"/>
      <c r="S79" s="85"/>
      <c r="T79" s="86"/>
      <c r="U79" s="87"/>
    </row>
    <row r="80" spans="1:21">
      <c r="A80" s="95" t="s">
        <v>397</v>
      </c>
      <c r="B80" s="96">
        <v>0</v>
      </c>
      <c r="C80" s="96">
        <v>0</v>
      </c>
      <c r="D80" s="96"/>
      <c r="I80" s="42"/>
      <c r="J80" s="80"/>
      <c r="K80" s="81"/>
      <c r="L80" s="82"/>
      <c r="M80" s="83"/>
      <c r="Q80" s="42"/>
      <c r="R80" s="80"/>
      <c r="S80" s="81"/>
      <c r="T80" s="82"/>
      <c r="U80" s="83"/>
    </row>
    <row r="81" spans="1:21">
      <c r="A81" s="95" t="s">
        <v>291</v>
      </c>
      <c r="B81" s="96">
        <v>0</v>
      </c>
      <c r="C81" s="96">
        <v>0</v>
      </c>
      <c r="D81" s="96"/>
      <c r="I81" s="42"/>
      <c r="J81" s="80"/>
      <c r="K81" s="81"/>
      <c r="L81" s="82"/>
      <c r="M81" s="83"/>
      <c r="Q81" s="42"/>
      <c r="R81" s="80"/>
      <c r="S81" s="81"/>
      <c r="T81" s="82"/>
      <c r="U81" s="83"/>
    </row>
    <row r="82" spans="1:21">
      <c r="A82" s="95" t="s">
        <v>288</v>
      </c>
      <c r="B82" s="96">
        <v>0</v>
      </c>
      <c r="C82" s="96">
        <v>0</v>
      </c>
      <c r="D82" s="96"/>
      <c r="I82" s="67" t="s">
        <v>242</v>
      </c>
      <c r="J82" s="84"/>
      <c r="K82" s="85"/>
      <c r="L82" s="86"/>
      <c r="M82" s="87">
        <v>280</v>
      </c>
      <c r="Q82" s="67" t="s">
        <v>242</v>
      </c>
      <c r="R82" s="84"/>
      <c r="S82" s="85"/>
      <c r="T82" s="86"/>
      <c r="U82" s="87">
        <v>455</v>
      </c>
    </row>
    <row r="83" spans="1:21">
      <c r="A83" s="95" t="s">
        <v>398</v>
      </c>
      <c r="B83" s="96">
        <v>0</v>
      </c>
      <c r="C83" s="96">
        <v>0</v>
      </c>
      <c r="D83" s="96"/>
      <c r="I83" s="67" t="s">
        <v>243</v>
      </c>
      <c r="J83" s="84"/>
      <c r="K83" s="85"/>
      <c r="L83" s="86"/>
      <c r="M83" s="87">
        <v>2</v>
      </c>
      <c r="Q83" s="67" t="s">
        <v>243</v>
      </c>
      <c r="R83" s="84"/>
      <c r="S83" s="85"/>
      <c r="T83" s="86"/>
      <c r="U83" s="87">
        <v>3</v>
      </c>
    </row>
    <row r="84" spans="1:21">
      <c r="A84" s="95" t="s">
        <v>290</v>
      </c>
      <c r="B84" s="96">
        <v>320</v>
      </c>
      <c r="C84" s="96">
        <v>2</v>
      </c>
      <c r="D84" s="96"/>
    </row>
    <row r="85" spans="1:21" ht="76.5">
      <c r="A85" s="95" t="s">
        <v>399</v>
      </c>
      <c r="B85" s="96">
        <v>0</v>
      </c>
      <c r="C85" s="96">
        <v>0</v>
      </c>
      <c r="D85" s="96"/>
      <c r="I85" s="90"/>
      <c r="J85" s="91"/>
      <c r="K85" s="92" t="s">
        <v>274</v>
      </c>
      <c r="L85" s="103"/>
      <c r="Q85" s="90"/>
      <c r="R85" s="91"/>
      <c r="S85" s="92" t="s">
        <v>274</v>
      </c>
      <c r="T85" s="103"/>
    </row>
    <row r="86" spans="1:21">
      <c r="A86" s="95" t="s">
        <v>400</v>
      </c>
      <c r="B86" s="96">
        <v>0</v>
      </c>
      <c r="C86" s="96">
        <v>0</v>
      </c>
      <c r="D86" s="96"/>
      <c r="I86" s="20" t="s">
        <v>614</v>
      </c>
      <c r="J86" s="73"/>
      <c r="K86" s="81"/>
      <c r="L86" s="103"/>
      <c r="Q86" s="20" t="s">
        <v>615</v>
      </c>
      <c r="R86" s="73"/>
      <c r="S86" s="81"/>
      <c r="T86" s="103"/>
    </row>
    <row r="87" spans="1:21">
      <c r="A87" s="95" t="s">
        <v>400</v>
      </c>
      <c r="B87" s="96">
        <v>0</v>
      </c>
      <c r="C87" s="96">
        <v>0</v>
      </c>
      <c r="D87" s="96"/>
      <c r="I87" s="20" t="s">
        <v>616</v>
      </c>
      <c r="J87" s="73"/>
      <c r="K87" s="81"/>
      <c r="L87" s="103"/>
      <c r="Q87" s="20" t="s">
        <v>617</v>
      </c>
      <c r="R87" s="73"/>
      <c r="S87" s="81"/>
      <c r="T87" s="103"/>
    </row>
    <row r="88" spans="1:21">
      <c r="A88" s="96"/>
      <c r="B88" s="94">
        <v>1099</v>
      </c>
      <c r="C88" s="94">
        <v>13</v>
      </c>
      <c r="D88" s="96"/>
      <c r="I88" s="20" t="s">
        <v>618</v>
      </c>
      <c r="J88" s="73"/>
      <c r="K88" s="81"/>
      <c r="L88" s="103"/>
      <c r="Q88" s="20" t="s">
        <v>619</v>
      </c>
      <c r="R88" s="73"/>
      <c r="S88" s="81"/>
      <c r="T88" s="103"/>
    </row>
    <row r="89" spans="1:21">
      <c r="I89" s="20" t="s">
        <v>620</v>
      </c>
      <c r="J89" s="73"/>
      <c r="K89" s="81"/>
      <c r="L89" s="103"/>
      <c r="Q89" s="20" t="s">
        <v>621</v>
      </c>
      <c r="R89" s="73"/>
      <c r="S89" s="81"/>
      <c r="T89" s="103"/>
    </row>
    <row r="90" spans="1:21">
      <c r="I90" s="93"/>
      <c r="J90" s="80"/>
      <c r="K90" s="81"/>
      <c r="L90" s="103"/>
      <c r="Q90" s="93"/>
      <c r="R90" s="80"/>
      <c r="S90" s="81"/>
      <c r="T90" s="103"/>
    </row>
    <row r="91" spans="1:21">
      <c r="I91" s="94" t="s">
        <v>284</v>
      </c>
      <c r="J91" s="94"/>
      <c r="K91" s="94"/>
      <c r="L91" s="103"/>
      <c r="Q91" s="94" t="s">
        <v>284</v>
      </c>
      <c r="R91" s="94"/>
      <c r="S91" s="94"/>
      <c r="T91" s="103"/>
    </row>
    <row r="92" spans="1:21">
      <c r="I92" s="94"/>
      <c r="J92" s="94" t="s">
        <v>285</v>
      </c>
      <c r="K92" s="94" t="s">
        <v>15</v>
      </c>
      <c r="L92" s="94" t="s">
        <v>5</v>
      </c>
      <c r="Q92" s="94"/>
      <c r="R92" s="94" t="s">
        <v>285</v>
      </c>
      <c r="S92" s="94" t="s">
        <v>15</v>
      </c>
      <c r="T92" s="94" t="s">
        <v>5</v>
      </c>
    </row>
    <row r="93" spans="1:21">
      <c r="I93" s="95" t="s">
        <v>393</v>
      </c>
      <c r="J93" s="95">
        <v>0</v>
      </c>
      <c r="K93" s="95">
        <v>0</v>
      </c>
      <c r="L93" s="96"/>
      <c r="Q93" s="95" t="s">
        <v>393</v>
      </c>
      <c r="R93" s="95">
        <v>0</v>
      </c>
      <c r="S93" s="95">
        <v>0</v>
      </c>
      <c r="T93" s="96"/>
    </row>
    <row r="94" spans="1:21">
      <c r="I94" s="96" t="s">
        <v>286</v>
      </c>
      <c r="J94" s="96">
        <v>386</v>
      </c>
      <c r="K94" s="96">
        <v>6</v>
      </c>
      <c r="L94" s="96"/>
      <c r="Q94" s="96" t="s">
        <v>286</v>
      </c>
      <c r="R94" s="96">
        <v>238</v>
      </c>
      <c r="S94" s="96">
        <v>5</v>
      </c>
      <c r="T94" s="96"/>
    </row>
    <row r="95" spans="1:21">
      <c r="I95" s="96" t="s">
        <v>287</v>
      </c>
      <c r="J95" s="96">
        <v>268</v>
      </c>
      <c r="K95" s="96">
        <v>4</v>
      </c>
      <c r="L95" s="96"/>
      <c r="Q95" s="96" t="s">
        <v>287</v>
      </c>
      <c r="R95" s="96">
        <v>211</v>
      </c>
      <c r="S95" s="96">
        <v>4</v>
      </c>
      <c r="T95" s="96"/>
    </row>
    <row r="96" spans="1:21">
      <c r="I96" s="96" t="s">
        <v>289</v>
      </c>
      <c r="J96" s="96">
        <v>0</v>
      </c>
      <c r="K96" s="96">
        <v>0</v>
      </c>
      <c r="L96" s="96"/>
      <c r="Q96" s="96" t="s">
        <v>289</v>
      </c>
      <c r="R96" s="96">
        <v>0</v>
      </c>
      <c r="S96" s="96">
        <v>0</v>
      </c>
      <c r="T96" s="96"/>
    </row>
    <row r="97" spans="9:20">
      <c r="I97" s="96" t="s">
        <v>396</v>
      </c>
      <c r="J97" s="96">
        <v>0</v>
      </c>
      <c r="K97" s="96">
        <v>0</v>
      </c>
      <c r="L97" s="96"/>
      <c r="Q97" s="96" t="s">
        <v>396</v>
      </c>
      <c r="R97" s="96">
        <v>0</v>
      </c>
      <c r="S97" s="96">
        <v>0</v>
      </c>
      <c r="T97" s="96"/>
    </row>
    <row r="98" spans="9:20">
      <c r="I98" s="95" t="s">
        <v>397</v>
      </c>
      <c r="J98" s="96">
        <v>0</v>
      </c>
      <c r="K98" s="96">
        <v>0</v>
      </c>
      <c r="L98" s="96"/>
      <c r="Q98" s="95" t="s">
        <v>397</v>
      </c>
      <c r="R98" s="96">
        <v>0</v>
      </c>
      <c r="S98" s="96">
        <v>0</v>
      </c>
      <c r="T98" s="96"/>
    </row>
    <row r="99" spans="9:20">
      <c r="I99" s="95" t="s">
        <v>291</v>
      </c>
      <c r="J99" s="96">
        <v>0</v>
      </c>
      <c r="K99" s="96">
        <v>0</v>
      </c>
      <c r="L99" s="96"/>
      <c r="Q99" s="95" t="s">
        <v>291</v>
      </c>
      <c r="R99" s="96">
        <v>0</v>
      </c>
      <c r="S99" s="96">
        <v>0</v>
      </c>
      <c r="T99" s="96"/>
    </row>
    <row r="100" spans="9:20">
      <c r="I100" s="95" t="s">
        <v>288</v>
      </c>
      <c r="J100" s="96">
        <v>166</v>
      </c>
      <c r="K100" s="96">
        <v>4</v>
      </c>
      <c r="L100" s="96"/>
      <c r="Q100" s="95" t="s">
        <v>288</v>
      </c>
      <c r="R100" s="96">
        <v>196</v>
      </c>
      <c r="S100" s="96">
        <v>3</v>
      </c>
      <c r="T100" s="96"/>
    </row>
    <row r="101" spans="9:20">
      <c r="I101" s="95" t="s">
        <v>398</v>
      </c>
      <c r="J101" s="96">
        <v>0</v>
      </c>
      <c r="K101" s="96">
        <v>0</v>
      </c>
      <c r="L101" s="96"/>
      <c r="Q101" s="95" t="s">
        <v>398</v>
      </c>
      <c r="R101" s="96">
        <v>0</v>
      </c>
      <c r="S101" s="96">
        <v>0</v>
      </c>
      <c r="T101" s="96"/>
    </row>
    <row r="102" spans="9:20">
      <c r="I102" s="95" t="s">
        <v>290</v>
      </c>
      <c r="J102" s="96">
        <v>280</v>
      </c>
      <c r="K102" s="96">
        <v>2</v>
      </c>
      <c r="L102" s="96"/>
      <c r="Q102" s="95" t="s">
        <v>290</v>
      </c>
      <c r="R102" s="96">
        <v>455</v>
      </c>
      <c r="S102" s="96">
        <v>3</v>
      </c>
      <c r="T102" s="96"/>
    </row>
    <row r="103" spans="9:20">
      <c r="I103" s="95" t="s">
        <v>399</v>
      </c>
      <c r="J103" s="96">
        <v>0</v>
      </c>
      <c r="K103" s="96">
        <v>0</v>
      </c>
      <c r="L103" s="96"/>
      <c r="Q103" s="95" t="s">
        <v>399</v>
      </c>
      <c r="R103" s="96">
        <v>0</v>
      </c>
      <c r="S103" s="96">
        <v>0</v>
      </c>
      <c r="T103" s="96"/>
    </row>
    <row r="104" spans="9:20">
      <c r="I104" s="95" t="s">
        <v>400</v>
      </c>
      <c r="J104" s="96">
        <v>0</v>
      </c>
      <c r="K104" s="96">
        <v>0</v>
      </c>
      <c r="L104" s="96"/>
      <c r="Q104" s="95" t="s">
        <v>400</v>
      </c>
      <c r="R104" s="96">
        <v>0</v>
      </c>
      <c r="S104" s="96">
        <v>0</v>
      </c>
      <c r="T104" s="96"/>
    </row>
    <row r="105" spans="9:20">
      <c r="I105" s="95" t="s">
        <v>400</v>
      </c>
      <c r="J105" s="96">
        <v>0</v>
      </c>
      <c r="K105" s="96">
        <v>0</v>
      </c>
      <c r="L105" s="96"/>
      <c r="Q105" s="95" t="s">
        <v>400</v>
      </c>
      <c r="R105" s="96">
        <v>0</v>
      </c>
      <c r="S105" s="96">
        <v>0</v>
      </c>
      <c r="T105" s="96"/>
    </row>
    <row r="106" spans="9:20">
      <c r="I106" s="96"/>
      <c r="J106" s="94">
        <v>1100</v>
      </c>
      <c r="K106" s="94">
        <v>16</v>
      </c>
      <c r="L106" s="96"/>
      <c r="Q106" s="96"/>
      <c r="R106" s="94">
        <v>1100</v>
      </c>
      <c r="S106" s="94">
        <v>15</v>
      </c>
      <c r="T106" s="9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2561-192E-4F74-B1FD-4AF7AFC6E053}">
  <dimension ref="A1:U108"/>
  <sheetViews>
    <sheetView workbookViewId="0">
      <selection activeCell="A3" sqref="A3"/>
    </sheetView>
  </sheetViews>
  <sheetFormatPr defaultRowHeight="15"/>
  <cols>
    <col min="1" max="1" width="35.42578125" bestFit="1" customWidth="1"/>
    <col min="2" max="2" width="22.5703125" bestFit="1" customWidth="1"/>
    <col min="3" max="3" width="36.7109375" bestFit="1" customWidth="1"/>
    <col min="5" max="5" width="10.85546875" bestFit="1" customWidth="1"/>
    <col min="9" max="9" width="37.7109375" style="252" bestFit="1" customWidth="1"/>
    <col min="10" max="10" width="19.140625" style="252" bestFit="1" customWidth="1"/>
    <col min="11" max="11" width="34.5703125" style="252" bestFit="1" customWidth="1"/>
    <col min="12" max="13" width="9.140625" style="252"/>
    <col min="18" max="18" width="19.140625" bestFit="1" customWidth="1"/>
    <col min="19" max="19" width="44.85546875" bestFit="1" customWidth="1"/>
  </cols>
  <sheetData>
    <row r="1" spans="1:21">
      <c r="C1" t="s">
        <v>37</v>
      </c>
      <c r="J1" s="252" t="s">
        <v>123</v>
      </c>
      <c r="S1" s="14" t="s">
        <v>37</v>
      </c>
    </row>
    <row r="2" spans="1:21">
      <c r="A2" t="s">
        <v>30</v>
      </c>
      <c r="B2" t="s">
        <v>622</v>
      </c>
      <c r="C2" t="s">
        <v>623</v>
      </c>
      <c r="I2" s="252" t="s">
        <v>283</v>
      </c>
      <c r="J2" s="252" t="s">
        <v>42</v>
      </c>
      <c r="K2" s="252" t="s">
        <v>624</v>
      </c>
      <c r="Q2" t="s">
        <v>32</v>
      </c>
      <c r="R2" t="s">
        <v>42</v>
      </c>
      <c r="S2" t="s">
        <v>625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15"/>
      <c r="J3" s="16" t="s">
        <v>215</v>
      </c>
      <c r="K3" s="17" t="s">
        <v>216</v>
      </c>
      <c r="L3" s="18" t="s">
        <v>217</v>
      </c>
      <c r="M3" s="19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1">
      <c r="A4" s="67" t="s">
        <v>219</v>
      </c>
      <c r="B4" s="68"/>
      <c r="C4" s="69"/>
      <c r="D4" s="70"/>
      <c r="E4" s="71"/>
      <c r="I4" s="20" t="s">
        <v>219</v>
      </c>
      <c r="J4" s="21"/>
      <c r="K4" s="22"/>
      <c r="L4" s="23"/>
      <c r="M4" s="24"/>
      <c r="Q4" s="67" t="s">
        <v>219</v>
      </c>
      <c r="R4" s="68"/>
      <c r="S4" s="69"/>
      <c r="T4" s="70"/>
      <c r="U4" s="71"/>
    </row>
    <row r="5" spans="1:21">
      <c r="A5" s="72" t="s">
        <v>220</v>
      </c>
      <c r="B5" s="73" t="s">
        <v>100</v>
      </c>
      <c r="C5" s="256" t="s">
        <v>626</v>
      </c>
      <c r="D5" s="75" t="s">
        <v>406</v>
      </c>
      <c r="E5" s="76">
        <v>21</v>
      </c>
      <c r="I5" s="25" t="s">
        <v>220</v>
      </c>
      <c r="J5" s="26" t="s">
        <v>249</v>
      </c>
      <c r="K5" s="41" t="s">
        <v>627</v>
      </c>
      <c r="L5" s="28" t="s">
        <v>406</v>
      </c>
      <c r="M5" s="29">
        <v>21</v>
      </c>
      <c r="Q5" s="72" t="s">
        <v>220</v>
      </c>
      <c r="R5" s="111" t="s">
        <v>352</v>
      </c>
      <c r="S5" s="254" t="s">
        <v>628</v>
      </c>
      <c r="T5" s="115" t="s">
        <v>629</v>
      </c>
      <c r="U5" s="107">
        <v>55</v>
      </c>
    </row>
    <row r="6" spans="1:21" ht="30" customHeight="1">
      <c r="A6" s="72" t="s">
        <v>226</v>
      </c>
      <c r="B6" s="73" t="s">
        <v>124</v>
      </c>
      <c r="C6" s="257" t="s">
        <v>630</v>
      </c>
      <c r="D6" s="274" t="s">
        <v>406</v>
      </c>
      <c r="E6" s="260">
        <v>95</v>
      </c>
      <c r="I6" s="25" t="s">
        <v>226</v>
      </c>
      <c r="J6" s="26" t="s">
        <v>100</v>
      </c>
      <c r="K6" s="27" t="s">
        <v>631</v>
      </c>
      <c r="L6" s="229" t="s">
        <v>142</v>
      </c>
      <c r="M6" s="29">
        <v>55</v>
      </c>
      <c r="Q6" s="72" t="s">
        <v>226</v>
      </c>
      <c r="R6" s="111" t="s">
        <v>354</v>
      </c>
      <c r="S6" s="255" t="s">
        <v>632</v>
      </c>
      <c r="T6" s="117" t="s">
        <v>629</v>
      </c>
      <c r="U6" s="107">
        <v>45</v>
      </c>
    </row>
    <row r="7" spans="1:21" ht="36" customHeight="1">
      <c r="A7" s="72" t="s">
        <v>232</v>
      </c>
      <c r="B7" s="73" t="s">
        <v>124</v>
      </c>
      <c r="C7" s="257" t="s">
        <v>630</v>
      </c>
      <c r="D7" s="274" t="s">
        <v>406</v>
      </c>
      <c r="E7" s="260">
        <v>95</v>
      </c>
      <c r="I7" s="25" t="s">
        <v>232</v>
      </c>
      <c r="J7" s="26" t="s">
        <v>245</v>
      </c>
      <c r="K7" s="27" t="s">
        <v>633</v>
      </c>
      <c r="L7" s="229" t="s">
        <v>406</v>
      </c>
      <c r="M7" s="29">
        <v>130</v>
      </c>
      <c r="Q7" s="72" t="s">
        <v>232</v>
      </c>
      <c r="R7" s="111" t="s">
        <v>354</v>
      </c>
      <c r="S7" s="255" t="s">
        <v>632</v>
      </c>
      <c r="T7" s="117" t="s">
        <v>629</v>
      </c>
      <c r="U7" s="107">
        <v>45</v>
      </c>
    </row>
    <row r="8" spans="1:21">
      <c r="A8" s="79"/>
      <c r="B8" s="80"/>
      <c r="C8" s="81"/>
      <c r="D8" s="82"/>
      <c r="E8" s="83"/>
      <c r="I8" s="30"/>
      <c r="J8" s="31"/>
      <c r="K8" s="32"/>
      <c r="L8" s="33"/>
      <c r="M8" s="34"/>
      <c r="Q8" s="79"/>
      <c r="R8" s="118"/>
      <c r="S8" s="119"/>
      <c r="T8" s="120"/>
      <c r="U8" s="121"/>
    </row>
    <row r="9" spans="1:21">
      <c r="A9" s="67" t="s">
        <v>234</v>
      </c>
      <c r="B9" s="80"/>
      <c r="C9" s="81"/>
      <c r="D9" s="82"/>
      <c r="E9" s="83"/>
      <c r="I9" s="20" t="s">
        <v>234</v>
      </c>
      <c r="J9" s="31"/>
      <c r="K9" s="32"/>
      <c r="L9" s="33"/>
      <c r="M9" s="34"/>
      <c r="Q9" s="67" t="s">
        <v>234</v>
      </c>
      <c r="R9" s="118"/>
      <c r="S9" s="119"/>
      <c r="T9" s="120"/>
      <c r="U9" s="121"/>
    </row>
    <row r="10" spans="1:21">
      <c r="A10" s="72" t="s">
        <v>303</v>
      </c>
      <c r="B10" s="84"/>
      <c r="C10" s="85"/>
      <c r="D10" s="86"/>
      <c r="E10" s="87"/>
      <c r="I10" s="25" t="s">
        <v>303</v>
      </c>
      <c r="J10" s="35"/>
      <c r="K10" s="36"/>
      <c r="L10" s="37"/>
      <c r="M10" s="38"/>
      <c r="Q10" s="72" t="s">
        <v>303</v>
      </c>
      <c r="R10" s="84" t="s">
        <v>354</v>
      </c>
      <c r="S10" s="125" t="s">
        <v>632</v>
      </c>
      <c r="T10" s="84" t="s">
        <v>629</v>
      </c>
      <c r="U10" s="84">
        <v>45</v>
      </c>
    </row>
    <row r="11" spans="1:21">
      <c r="A11" s="72" t="s">
        <v>303</v>
      </c>
      <c r="B11" s="84"/>
      <c r="C11" s="85"/>
      <c r="D11" s="86"/>
      <c r="E11" s="87"/>
      <c r="I11" s="25" t="s">
        <v>303</v>
      </c>
      <c r="J11" s="35"/>
      <c r="K11" s="36"/>
      <c r="L11" s="37"/>
      <c r="M11" s="38"/>
      <c r="Q11" s="72" t="s">
        <v>303</v>
      </c>
      <c r="R11" s="84" t="s">
        <v>354</v>
      </c>
      <c r="S11" s="234" t="s">
        <v>634</v>
      </c>
      <c r="T11" s="86" t="s">
        <v>629</v>
      </c>
      <c r="U11" s="87">
        <v>110</v>
      </c>
    </row>
    <row r="12" spans="1:21">
      <c r="A12" s="72" t="s">
        <v>305</v>
      </c>
      <c r="B12" s="84"/>
      <c r="C12" s="85"/>
      <c r="D12" s="86"/>
      <c r="E12" s="87"/>
      <c r="I12" s="25" t="s">
        <v>305</v>
      </c>
      <c r="J12" s="35"/>
      <c r="K12" s="36"/>
      <c r="L12" s="37"/>
      <c r="M12" s="38"/>
      <c r="Q12" s="72" t="s">
        <v>305</v>
      </c>
      <c r="R12" s="122"/>
      <c r="S12" s="113"/>
      <c r="T12" s="123"/>
      <c r="U12" s="124"/>
    </row>
    <row r="13" spans="1:21">
      <c r="A13" s="72" t="s">
        <v>306</v>
      </c>
      <c r="B13" s="84"/>
      <c r="C13" s="85"/>
      <c r="D13" s="86"/>
      <c r="E13" s="87"/>
      <c r="I13" s="25" t="s">
        <v>306</v>
      </c>
      <c r="J13" s="35"/>
      <c r="K13" s="36"/>
      <c r="L13" s="37"/>
      <c r="M13" s="38"/>
      <c r="Q13" s="72" t="s">
        <v>306</v>
      </c>
      <c r="R13" s="84" t="s">
        <v>352</v>
      </c>
      <c r="S13" s="234" t="s">
        <v>635</v>
      </c>
      <c r="T13" s="86" t="s">
        <v>629</v>
      </c>
      <c r="U13" s="87">
        <v>75</v>
      </c>
    </row>
    <row r="14" spans="1:21">
      <c r="A14" s="72" t="s">
        <v>309</v>
      </c>
      <c r="B14" s="84"/>
      <c r="C14" s="85"/>
      <c r="D14" s="86"/>
      <c r="E14" s="87"/>
      <c r="I14" s="25" t="s">
        <v>309</v>
      </c>
      <c r="J14" s="35" t="s">
        <v>162</v>
      </c>
      <c r="K14" s="36" t="s">
        <v>446</v>
      </c>
      <c r="L14" s="37" t="s">
        <v>406</v>
      </c>
      <c r="M14" s="38">
        <v>35</v>
      </c>
      <c r="Q14" s="72" t="s">
        <v>309</v>
      </c>
      <c r="R14" s="84" t="s">
        <v>373</v>
      </c>
      <c r="S14" s="234" t="s">
        <v>636</v>
      </c>
      <c r="T14" s="86" t="s">
        <v>629</v>
      </c>
      <c r="U14" s="87">
        <v>25</v>
      </c>
    </row>
    <row r="15" spans="1:21">
      <c r="A15" s="72" t="s">
        <v>309</v>
      </c>
      <c r="B15" s="84"/>
      <c r="C15" s="85"/>
      <c r="D15" s="86"/>
      <c r="E15" s="87"/>
      <c r="I15" s="25" t="s">
        <v>309</v>
      </c>
      <c r="J15" s="35" t="s">
        <v>145</v>
      </c>
      <c r="K15" s="36" t="s">
        <v>446</v>
      </c>
      <c r="L15" s="37" t="s">
        <v>406</v>
      </c>
      <c r="M15" s="38">
        <v>35</v>
      </c>
      <c r="Q15" s="72" t="s">
        <v>309</v>
      </c>
      <c r="R15" s="84" t="s">
        <v>373</v>
      </c>
      <c r="S15" s="234" t="s">
        <v>636</v>
      </c>
      <c r="T15" s="86" t="s">
        <v>629</v>
      </c>
      <c r="U15" s="87">
        <v>25</v>
      </c>
    </row>
    <row r="16" spans="1:21">
      <c r="A16" s="72" t="s">
        <v>310</v>
      </c>
      <c r="B16" s="84"/>
      <c r="C16" s="85"/>
      <c r="D16" s="86"/>
      <c r="E16" s="87"/>
      <c r="I16" s="25" t="s">
        <v>310</v>
      </c>
      <c r="J16" s="35"/>
      <c r="K16" s="36"/>
      <c r="L16" s="37"/>
      <c r="M16" s="38"/>
      <c r="Q16" s="72" t="s">
        <v>310</v>
      </c>
      <c r="R16" s="84" t="s">
        <v>352</v>
      </c>
      <c r="S16" s="234" t="s">
        <v>637</v>
      </c>
      <c r="T16" s="86" t="s">
        <v>629</v>
      </c>
      <c r="U16" s="87">
        <v>52</v>
      </c>
    </row>
    <row r="17" spans="1:21">
      <c r="A17" s="72" t="s">
        <v>235</v>
      </c>
      <c r="B17" s="84" t="s">
        <v>100</v>
      </c>
      <c r="C17" s="234" t="s">
        <v>638</v>
      </c>
      <c r="D17" s="86" t="s">
        <v>410</v>
      </c>
      <c r="E17" s="87">
        <v>18</v>
      </c>
      <c r="I17" s="25" t="s">
        <v>235</v>
      </c>
      <c r="J17" s="35"/>
      <c r="K17" s="36"/>
      <c r="L17" s="37"/>
      <c r="M17" s="38"/>
      <c r="Q17" s="125" t="s">
        <v>235</v>
      </c>
      <c r="R17" s="84" t="s">
        <v>352</v>
      </c>
      <c r="S17" s="125" t="s">
        <v>238</v>
      </c>
      <c r="T17" s="84" t="s">
        <v>629</v>
      </c>
      <c r="U17" s="84">
        <v>45</v>
      </c>
    </row>
    <row r="18" spans="1:21">
      <c r="A18" s="72" t="s">
        <v>240</v>
      </c>
      <c r="B18" s="84"/>
      <c r="C18" s="85"/>
      <c r="D18" s="86"/>
      <c r="E18" s="87"/>
      <c r="I18" s="25" t="s">
        <v>240</v>
      </c>
      <c r="J18" s="35" t="s">
        <v>145</v>
      </c>
      <c r="K18" s="36" t="s">
        <v>639</v>
      </c>
      <c r="L18" s="37" t="s">
        <v>406</v>
      </c>
      <c r="M18" s="38">
        <v>55</v>
      </c>
      <c r="Q18" s="72" t="s">
        <v>240</v>
      </c>
      <c r="R18" s="84" t="s">
        <v>352</v>
      </c>
      <c r="S18" s="234" t="s">
        <v>640</v>
      </c>
      <c r="T18" s="86" t="s">
        <v>629</v>
      </c>
      <c r="U18" s="87">
        <v>19</v>
      </c>
    </row>
    <row r="19" spans="1:21">
      <c r="A19" s="72" t="s">
        <v>240</v>
      </c>
      <c r="B19" s="84"/>
      <c r="C19" s="85"/>
      <c r="D19" s="86"/>
      <c r="E19" s="87"/>
      <c r="I19" s="25" t="s">
        <v>240</v>
      </c>
      <c r="J19" s="35"/>
      <c r="K19" s="36"/>
      <c r="L19" s="37"/>
      <c r="M19" s="38"/>
      <c r="Q19" s="72" t="s">
        <v>240</v>
      </c>
      <c r="R19" s="84" t="s">
        <v>352</v>
      </c>
      <c r="S19" s="234" t="s">
        <v>641</v>
      </c>
      <c r="T19" s="86" t="s">
        <v>629</v>
      </c>
      <c r="U19" s="87">
        <v>14</v>
      </c>
    </row>
    <row r="20" spans="1:21">
      <c r="A20" s="72" t="s">
        <v>240</v>
      </c>
      <c r="B20" s="84"/>
      <c r="C20" s="85"/>
      <c r="D20" s="86"/>
      <c r="E20" s="87"/>
      <c r="I20" s="25" t="s">
        <v>240</v>
      </c>
      <c r="J20" s="35"/>
      <c r="K20" s="36"/>
      <c r="L20" s="37"/>
      <c r="M20" s="38"/>
      <c r="Q20" s="72" t="s">
        <v>240</v>
      </c>
      <c r="R20" s="84"/>
      <c r="S20" s="85"/>
      <c r="T20" s="86"/>
      <c r="U20" s="87"/>
    </row>
    <row r="21" spans="1:21">
      <c r="A21" s="72" t="s">
        <v>240</v>
      </c>
      <c r="B21" s="84"/>
      <c r="C21" s="85"/>
      <c r="D21" s="86"/>
      <c r="E21" s="87"/>
      <c r="I21" s="25" t="s">
        <v>240</v>
      </c>
      <c r="J21" s="35"/>
      <c r="K21" s="36"/>
      <c r="L21" s="37"/>
      <c r="M21" s="38"/>
      <c r="Q21" s="72" t="s">
        <v>240</v>
      </c>
      <c r="R21" s="84"/>
      <c r="S21" s="85"/>
      <c r="T21" s="86"/>
      <c r="U21" s="87"/>
    </row>
    <row r="22" spans="1:21">
      <c r="A22" s="72" t="s">
        <v>240</v>
      </c>
      <c r="B22" s="84"/>
      <c r="C22" s="85"/>
      <c r="D22" s="86"/>
      <c r="E22" s="87"/>
      <c r="I22" s="25" t="s">
        <v>240</v>
      </c>
      <c r="J22" s="35"/>
      <c r="K22" s="36"/>
      <c r="L22" s="37"/>
      <c r="M22" s="38"/>
      <c r="Q22" s="72" t="s">
        <v>240</v>
      </c>
      <c r="R22" s="84"/>
      <c r="S22" s="85"/>
      <c r="T22" s="86"/>
      <c r="U22" s="87"/>
    </row>
    <row r="23" spans="1:21">
      <c r="A23" s="42"/>
      <c r="B23" s="80"/>
      <c r="C23" s="81"/>
      <c r="D23" s="82"/>
      <c r="E23" s="83"/>
      <c r="I23" s="15"/>
      <c r="J23" s="31"/>
      <c r="K23" s="32"/>
      <c r="L23" s="33"/>
      <c r="M23" s="34"/>
      <c r="Q23" s="42"/>
      <c r="R23" s="80"/>
      <c r="S23" s="81"/>
      <c r="T23" s="82"/>
      <c r="U23" s="83"/>
    </row>
    <row r="24" spans="1:21">
      <c r="A24" s="42"/>
      <c r="B24" s="80"/>
      <c r="C24" s="81"/>
      <c r="D24" s="82"/>
      <c r="E24" s="83"/>
      <c r="I24" s="15"/>
      <c r="J24" s="31"/>
      <c r="K24" s="32"/>
      <c r="L24" s="33"/>
      <c r="M24" s="34"/>
      <c r="Q24" s="42"/>
      <c r="R24" s="80"/>
      <c r="S24" s="81"/>
      <c r="T24" s="82"/>
      <c r="U24" s="83"/>
    </row>
    <row r="25" spans="1:21">
      <c r="A25" s="67" t="s">
        <v>242</v>
      </c>
      <c r="B25" s="84"/>
      <c r="C25" s="85"/>
      <c r="D25" s="86"/>
      <c r="E25" s="87">
        <v>229</v>
      </c>
      <c r="I25" s="20" t="s">
        <v>242</v>
      </c>
      <c r="J25" s="35"/>
      <c r="K25" s="36"/>
      <c r="L25" s="37"/>
      <c r="M25" s="38">
        <v>331</v>
      </c>
      <c r="Q25" s="67" t="s">
        <v>242</v>
      </c>
      <c r="R25" s="84"/>
      <c r="S25" s="85"/>
      <c r="T25" s="86"/>
      <c r="U25" s="87">
        <v>555</v>
      </c>
    </row>
    <row r="26" spans="1:21">
      <c r="A26" s="67" t="s">
        <v>243</v>
      </c>
      <c r="B26" s="84"/>
      <c r="C26" s="85"/>
      <c r="D26" s="86"/>
      <c r="E26" s="87">
        <v>4</v>
      </c>
      <c r="I26" s="20" t="s">
        <v>243</v>
      </c>
      <c r="J26" s="35"/>
      <c r="K26" s="36"/>
      <c r="L26" s="37"/>
      <c r="M26" s="38">
        <v>6</v>
      </c>
      <c r="Q26" s="67" t="s">
        <v>243</v>
      </c>
      <c r="R26" s="84"/>
      <c r="S26" s="85"/>
      <c r="T26" s="86"/>
      <c r="U26" s="87">
        <v>12</v>
      </c>
    </row>
    <row r="28" spans="1:21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15"/>
      <c r="J28" s="39" t="s">
        <v>215</v>
      </c>
      <c r="K28" s="17" t="s">
        <v>216</v>
      </c>
      <c r="L28" s="18" t="s">
        <v>217</v>
      </c>
      <c r="M28" s="19" t="s">
        <v>218</v>
      </c>
      <c r="Q28" s="42"/>
      <c r="R28" s="6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67" t="s">
        <v>219</v>
      </c>
      <c r="B29" s="68"/>
      <c r="C29" s="69"/>
      <c r="D29" s="70"/>
      <c r="E29" s="71"/>
      <c r="F29" s="14"/>
      <c r="G29" s="14"/>
      <c r="H29" s="14"/>
      <c r="I29" s="20" t="s">
        <v>219</v>
      </c>
      <c r="J29" s="21"/>
      <c r="K29" s="22"/>
      <c r="L29" s="23"/>
      <c r="M29" s="24"/>
      <c r="Q29" s="67" t="s">
        <v>219</v>
      </c>
      <c r="R29" s="68"/>
      <c r="S29" s="69"/>
      <c r="T29" s="70"/>
      <c r="U29" s="71"/>
    </row>
    <row r="30" spans="1:21">
      <c r="A30" s="72" t="s">
        <v>220</v>
      </c>
      <c r="B30" s="73" t="s">
        <v>100</v>
      </c>
      <c r="C30" s="256" t="s">
        <v>626</v>
      </c>
      <c r="D30" s="75" t="s">
        <v>406</v>
      </c>
      <c r="E30" s="76">
        <v>21</v>
      </c>
      <c r="I30" s="25" t="s">
        <v>220</v>
      </c>
      <c r="J30" s="26" t="s">
        <v>100</v>
      </c>
      <c r="K30" s="41" t="s">
        <v>627</v>
      </c>
      <c r="L30" s="28" t="s">
        <v>406</v>
      </c>
      <c r="M30" s="29">
        <v>21</v>
      </c>
      <c r="Q30" s="72" t="s">
        <v>220</v>
      </c>
      <c r="R30" s="111" t="s">
        <v>352</v>
      </c>
      <c r="S30" s="254" t="s">
        <v>628</v>
      </c>
      <c r="T30" s="115" t="s">
        <v>629</v>
      </c>
      <c r="U30" s="107">
        <v>55</v>
      </c>
    </row>
    <row r="31" spans="1:21" ht="30.75">
      <c r="A31" s="72" t="s">
        <v>226</v>
      </c>
      <c r="B31" s="73" t="s">
        <v>124</v>
      </c>
      <c r="C31" s="257" t="s">
        <v>630</v>
      </c>
      <c r="D31" s="274" t="s">
        <v>406</v>
      </c>
      <c r="E31" s="260">
        <v>95</v>
      </c>
      <c r="I31" s="25" t="s">
        <v>226</v>
      </c>
      <c r="J31" s="26" t="s">
        <v>100</v>
      </c>
      <c r="K31" s="27" t="s">
        <v>631</v>
      </c>
      <c r="L31" s="229" t="s">
        <v>142</v>
      </c>
      <c r="M31" s="29">
        <v>55</v>
      </c>
      <c r="Q31" s="72" t="s">
        <v>226</v>
      </c>
      <c r="R31" s="111" t="s">
        <v>354</v>
      </c>
      <c r="S31" s="255" t="s">
        <v>632</v>
      </c>
      <c r="T31" s="117" t="s">
        <v>629</v>
      </c>
      <c r="U31" s="107">
        <v>45</v>
      </c>
    </row>
    <row r="32" spans="1:21" ht="30.75">
      <c r="A32" s="72" t="s">
        <v>232</v>
      </c>
      <c r="B32" s="73" t="s">
        <v>245</v>
      </c>
      <c r="C32" s="257" t="s">
        <v>630</v>
      </c>
      <c r="D32" s="274" t="s">
        <v>406</v>
      </c>
      <c r="E32" s="260">
        <v>95</v>
      </c>
      <c r="I32" s="25" t="s">
        <v>232</v>
      </c>
      <c r="J32" s="26" t="s">
        <v>245</v>
      </c>
      <c r="K32" s="27" t="s">
        <v>642</v>
      </c>
      <c r="L32" s="229" t="s">
        <v>142</v>
      </c>
      <c r="M32" s="29">
        <v>140</v>
      </c>
      <c r="Q32" s="72" t="s">
        <v>232</v>
      </c>
      <c r="R32" s="111" t="s">
        <v>354</v>
      </c>
      <c r="S32" s="255" t="s">
        <v>632</v>
      </c>
      <c r="T32" s="117" t="s">
        <v>629</v>
      </c>
      <c r="U32" s="107">
        <v>45</v>
      </c>
    </row>
    <row r="33" spans="1:21">
      <c r="A33" s="79"/>
      <c r="B33" s="80"/>
      <c r="C33" s="81"/>
      <c r="D33" s="82"/>
      <c r="E33" s="83"/>
      <c r="I33" s="30"/>
      <c r="J33" s="31"/>
      <c r="K33" s="32"/>
      <c r="L33" s="33"/>
      <c r="M33" s="34"/>
      <c r="Q33" s="79"/>
      <c r="R33" s="118"/>
      <c r="S33" s="119"/>
      <c r="T33" s="120"/>
      <c r="U33" s="121"/>
    </row>
    <row r="34" spans="1:21">
      <c r="A34" s="67" t="s">
        <v>234</v>
      </c>
      <c r="B34" s="80"/>
      <c r="C34" s="81"/>
      <c r="D34" s="82"/>
      <c r="E34" s="83"/>
      <c r="I34" s="20" t="s">
        <v>234</v>
      </c>
      <c r="J34" s="31"/>
      <c r="K34" s="32"/>
      <c r="L34" s="33"/>
      <c r="M34" s="34"/>
      <c r="Q34" s="67" t="s">
        <v>234</v>
      </c>
      <c r="R34" s="118"/>
      <c r="S34" s="119"/>
      <c r="T34" s="120"/>
      <c r="U34" s="121"/>
    </row>
    <row r="35" spans="1:21">
      <c r="A35" s="72" t="s">
        <v>303</v>
      </c>
      <c r="B35" s="84"/>
      <c r="C35" s="85"/>
      <c r="D35" s="86"/>
      <c r="E35" s="87"/>
      <c r="I35" s="25" t="s">
        <v>303</v>
      </c>
      <c r="J35" s="35"/>
      <c r="K35" s="36"/>
      <c r="L35" s="37"/>
      <c r="M35" s="38"/>
      <c r="Q35" s="72" t="s">
        <v>303</v>
      </c>
      <c r="R35" s="84" t="s">
        <v>354</v>
      </c>
      <c r="S35" s="125" t="s">
        <v>632</v>
      </c>
      <c r="T35" s="84" t="s">
        <v>629</v>
      </c>
      <c r="U35" s="84">
        <v>45</v>
      </c>
    </row>
    <row r="36" spans="1:21">
      <c r="A36" s="72" t="s">
        <v>303</v>
      </c>
      <c r="B36" s="84"/>
      <c r="C36" s="85"/>
      <c r="D36" s="86"/>
      <c r="E36" s="87"/>
      <c r="I36" s="25" t="s">
        <v>303</v>
      </c>
      <c r="J36" s="35"/>
      <c r="K36" s="36"/>
      <c r="L36" s="37"/>
      <c r="M36" s="38"/>
      <c r="Q36" s="72" t="s">
        <v>303</v>
      </c>
      <c r="R36" s="84" t="s">
        <v>354</v>
      </c>
      <c r="S36" s="234" t="s">
        <v>634</v>
      </c>
      <c r="T36" s="86" t="s">
        <v>629</v>
      </c>
      <c r="U36" s="87">
        <v>110</v>
      </c>
    </row>
    <row r="37" spans="1:21">
      <c r="A37" s="72" t="s">
        <v>305</v>
      </c>
      <c r="B37" s="84"/>
      <c r="C37" s="85"/>
      <c r="D37" s="86"/>
      <c r="E37" s="87"/>
      <c r="I37" s="25" t="s">
        <v>305</v>
      </c>
      <c r="J37" s="35"/>
      <c r="K37" s="36"/>
      <c r="L37" s="37"/>
      <c r="M37" s="38"/>
      <c r="Q37" s="72" t="s">
        <v>305</v>
      </c>
      <c r="R37" s="122"/>
      <c r="S37" s="113"/>
      <c r="T37" s="123"/>
      <c r="U37" s="124"/>
    </row>
    <row r="38" spans="1:21">
      <c r="A38" s="72" t="s">
        <v>306</v>
      </c>
      <c r="B38" s="84"/>
      <c r="C38" s="85"/>
      <c r="D38" s="86"/>
      <c r="E38" s="87"/>
      <c r="I38" s="25" t="s">
        <v>306</v>
      </c>
      <c r="J38" s="35"/>
      <c r="K38" s="36"/>
      <c r="L38" s="37"/>
      <c r="M38" s="38"/>
      <c r="Q38" s="72" t="s">
        <v>306</v>
      </c>
      <c r="R38" s="84" t="s">
        <v>352</v>
      </c>
      <c r="S38" s="234" t="s">
        <v>635</v>
      </c>
      <c r="T38" s="86" t="s">
        <v>629</v>
      </c>
      <c r="U38" s="87">
        <v>75</v>
      </c>
    </row>
    <row r="39" spans="1:21">
      <c r="A39" s="72" t="s">
        <v>309</v>
      </c>
      <c r="B39" s="84"/>
      <c r="C39" s="85"/>
      <c r="D39" s="86"/>
      <c r="E39" s="87"/>
      <c r="I39" s="25" t="s">
        <v>309</v>
      </c>
      <c r="J39" s="35"/>
      <c r="K39" s="36"/>
      <c r="L39" s="37"/>
      <c r="M39" s="38"/>
      <c r="Q39" s="72" t="s">
        <v>309</v>
      </c>
      <c r="R39" s="84" t="s">
        <v>373</v>
      </c>
      <c r="S39" s="234" t="s">
        <v>643</v>
      </c>
      <c r="T39" s="86" t="s">
        <v>629</v>
      </c>
      <c r="U39" s="87">
        <v>20</v>
      </c>
    </row>
    <row r="40" spans="1:21">
      <c r="A40" s="72" t="s">
        <v>309</v>
      </c>
      <c r="B40" s="84"/>
      <c r="C40" s="85"/>
      <c r="D40" s="86"/>
      <c r="E40" s="87"/>
      <c r="I40" s="25" t="s">
        <v>309</v>
      </c>
      <c r="J40" s="35"/>
      <c r="K40" s="36"/>
      <c r="L40" s="37"/>
      <c r="M40" s="38"/>
      <c r="Q40" s="72" t="s">
        <v>309</v>
      </c>
      <c r="R40" s="84" t="s">
        <v>373</v>
      </c>
      <c r="S40" s="234" t="s">
        <v>643</v>
      </c>
      <c r="T40" s="86" t="s">
        <v>629</v>
      </c>
      <c r="U40" s="87">
        <v>20</v>
      </c>
    </row>
    <row r="41" spans="1:21">
      <c r="A41" s="72" t="s">
        <v>375</v>
      </c>
      <c r="B41" s="84"/>
      <c r="C41" s="85"/>
      <c r="D41" s="86"/>
      <c r="E41" s="87"/>
      <c r="I41" s="25" t="s">
        <v>375</v>
      </c>
      <c r="J41" s="35"/>
      <c r="K41" s="36"/>
      <c r="L41" s="37"/>
      <c r="M41" s="38"/>
      <c r="Q41" s="72" t="s">
        <v>375</v>
      </c>
      <c r="R41" s="84" t="s">
        <v>352</v>
      </c>
      <c r="S41" s="234" t="s">
        <v>637</v>
      </c>
      <c r="T41" s="86" t="s">
        <v>629</v>
      </c>
      <c r="U41" s="87">
        <v>52</v>
      </c>
    </row>
    <row r="42" spans="1:21">
      <c r="A42" s="72" t="s">
        <v>235</v>
      </c>
      <c r="B42" s="84" t="s">
        <v>145</v>
      </c>
      <c r="C42" s="234" t="s">
        <v>644</v>
      </c>
      <c r="D42" s="86" t="s">
        <v>410</v>
      </c>
      <c r="E42" s="87">
        <v>52</v>
      </c>
      <c r="I42" s="25" t="s">
        <v>235</v>
      </c>
      <c r="J42" s="35"/>
      <c r="K42" s="36"/>
      <c r="L42" s="37"/>
      <c r="M42" s="38"/>
      <c r="Q42" s="72" t="s">
        <v>235</v>
      </c>
      <c r="R42" s="84" t="s">
        <v>352</v>
      </c>
      <c r="S42" s="125" t="s">
        <v>238</v>
      </c>
      <c r="T42" s="84" t="s">
        <v>629</v>
      </c>
      <c r="U42" s="84">
        <v>45</v>
      </c>
    </row>
    <row r="43" spans="1:21">
      <c r="A43" s="72" t="s">
        <v>240</v>
      </c>
      <c r="B43" s="84"/>
      <c r="C43" s="85"/>
      <c r="D43" s="86"/>
      <c r="E43" s="87"/>
      <c r="I43" s="25" t="s">
        <v>240</v>
      </c>
      <c r="J43" s="35"/>
      <c r="K43" s="36"/>
      <c r="L43" s="37"/>
      <c r="M43" s="38"/>
      <c r="Q43" s="72" t="s">
        <v>240</v>
      </c>
      <c r="R43" s="84" t="s">
        <v>352</v>
      </c>
      <c r="S43" s="234" t="s">
        <v>640</v>
      </c>
      <c r="T43" s="235" t="s">
        <v>629</v>
      </c>
      <c r="U43" s="106">
        <v>19</v>
      </c>
    </row>
    <row r="44" spans="1:21">
      <c r="A44" s="72" t="s">
        <v>240</v>
      </c>
      <c r="B44" s="84"/>
      <c r="C44" s="85"/>
      <c r="D44" s="86"/>
      <c r="E44" s="87"/>
      <c r="I44" s="25" t="s">
        <v>240</v>
      </c>
      <c r="J44" s="35"/>
      <c r="K44" s="36"/>
      <c r="L44" s="37"/>
      <c r="M44" s="38"/>
      <c r="Q44" s="72" t="s">
        <v>240</v>
      </c>
      <c r="R44" s="84" t="s">
        <v>352</v>
      </c>
      <c r="S44" s="234" t="s">
        <v>641</v>
      </c>
      <c r="T44" s="235" t="s">
        <v>629</v>
      </c>
      <c r="U44" s="106">
        <v>14</v>
      </c>
    </row>
    <row r="45" spans="1:21">
      <c r="A45" s="72" t="s">
        <v>240</v>
      </c>
      <c r="B45" s="84"/>
      <c r="C45" s="85"/>
      <c r="D45" s="86"/>
      <c r="E45" s="87"/>
      <c r="I45" s="25" t="s">
        <v>240</v>
      </c>
      <c r="J45" s="35"/>
      <c r="K45" s="36"/>
      <c r="L45" s="37"/>
      <c r="M45" s="38"/>
      <c r="Q45" s="72" t="s">
        <v>240</v>
      </c>
      <c r="R45" s="84"/>
      <c r="S45" s="85"/>
      <c r="T45" s="86"/>
      <c r="U45" s="87"/>
    </row>
    <row r="46" spans="1:21">
      <c r="A46" s="72" t="s">
        <v>240</v>
      </c>
      <c r="B46" s="84"/>
      <c r="C46" s="85"/>
      <c r="D46" s="86"/>
      <c r="E46" s="87"/>
      <c r="I46" s="25" t="s">
        <v>240</v>
      </c>
      <c r="J46" s="35"/>
      <c r="K46" s="36"/>
      <c r="L46" s="37"/>
      <c r="M46" s="38"/>
      <c r="Q46" s="72" t="s">
        <v>240</v>
      </c>
      <c r="R46" s="84"/>
      <c r="S46" s="85"/>
      <c r="T46" s="86"/>
      <c r="U46" s="87"/>
    </row>
    <row r="47" spans="1:21">
      <c r="A47" s="72" t="s">
        <v>240</v>
      </c>
      <c r="B47" s="84"/>
      <c r="C47" s="85"/>
      <c r="D47" s="86"/>
      <c r="E47" s="87"/>
      <c r="I47" s="25" t="s">
        <v>240</v>
      </c>
      <c r="J47" s="35"/>
      <c r="K47" s="36"/>
      <c r="L47" s="37"/>
      <c r="M47" s="38"/>
      <c r="Q47" s="72" t="s">
        <v>240</v>
      </c>
      <c r="R47" s="84"/>
      <c r="S47" s="85"/>
      <c r="T47" s="86"/>
      <c r="U47" s="87"/>
    </row>
    <row r="48" spans="1:21">
      <c r="A48" s="42"/>
      <c r="B48" s="80"/>
      <c r="C48" s="81"/>
      <c r="D48" s="82"/>
      <c r="E48" s="83"/>
      <c r="I48" s="15"/>
      <c r="J48" s="31"/>
      <c r="K48" s="32"/>
      <c r="L48" s="33"/>
      <c r="M48" s="34"/>
      <c r="Q48" s="42"/>
      <c r="R48" s="80"/>
      <c r="S48" s="81"/>
      <c r="T48" s="82"/>
      <c r="U48" s="83"/>
    </row>
    <row r="49" spans="1:21">
      <c r="A49" s="42"/>
      <c r="B49" s="80"/>
      <c r="C49" s="81"/>
      <c r="D49" s="82"/>
      <c r="E49" s="83"/>
      <c r="I49" s="15"/>
      <c r="J49" s="31"/>
      <c r="K49" s="32"/>
      <c r="L49" s="33"/>
      <c r="M49" s="34"/>
      <c r="Q49" s="42"/>
      <c r="R49" s="80"/>
      <c r="S49" s="81"/>
      <c r="T49" s="82"/>
      <c r="U49" s="83"/>
    </row>
    <row r="50" spans="1:21">
      <c r="A50" s="67" t="s">
        <v>242</v>
      </c>
      <c r="B50" s="84"/>
      <c r="C50" s="85"/>
      <c r="D50" s="86"/>
      <c r="E50" s="87">
        <v>263</v>
      </c>
      <c r="I50" s="20" t="s">
        <v>242</v>
      </c>
      <c r="J50" s="35"/>
      <c r="K50" s="36"/>
      <c r="L50" s="37"/>
      <c r="M50" s="38">
        <v>216</v>
      </c>
      <c r="Q50" s="67" t="s">
        <v>242</v>
      </c>
      <c r="R50" s="84"/>
      <c r="S50" s="85"/>
      <c r="T50" s="86"/>
      <c r="U50" s="87">
        <v>545</v>
      </c>
    </row>
    <row r="51" spans="1:21">
      <c r="A51" s="67" t="s">
        <v>243</v>
      </c>
      <c r="B51" s="84"/>
      <c r="C51" s="85"/>
      <c r="D51" s="86"/>
      <c r="E51" s="87">
        <v>4</v>
      </c>
      <c r="I51" s="20" t="s">
        <v>243</v>
      </c>
      <c r="J51" s="35"/>
      <c r="K51" s="36"/>
      <c r="L51" s="37"/>
      <c r="M51" s="38">
        <v>3</v>
      </c>
      <c r="Q51" s="67" t="s">
        <v>243</v>
      </c>
      <c r="R51" s="84"/>
      <c r="S51" s="85"/>
      <c r="T51" s="86"/>
      <c r="U51" s="87">
        <v>12</v>
      </c>
    </row>
    <row r="53" spans="1:21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15"/>
      <c r="J53" s="16" t="s">
        <v>215</v>
      </c>
      <c r="K53" s="17" t="s">
        <v>216</v>
      </c>
      <c r="L53" s="18" t="s">
        <v>217</v>
      </c>
      <c r="M53" s="19" t="s">
        <v>218</v>
      </c>
      <c r="Q53" s="109"/>
      <c r="R53" s="110"/>
      <c r="S53" s="92" t="s">
        <v>274</v>
      </c>
      <c r="T53" s="108"/>
      <c r="U53" s="105"/>
    </row>
    <row r="54" spans="1:21">
      <c r="A54" s="67" t="s">
        <v>219</v>
      </c>
      <c r="B54" s="68"/>
      <c r="C54" s="69"/>
      <c r="D54" s="70"/>
      <c r="E54" s="71"/>
      <c r="I54" s="20" t="s">
        <v>219</v>
      </c>
      <c r="J54" s="21"/>
      <c r="K54" s="22"/>
      <c r="L54" s="23"/>
      <c r="M54" s="24"/>
      <c r="Q54" s="67" t="s">
        <v>275</v>
      </c>
      <c r="R54" s="104" t="s">
        <v>645</v>
      </c>
      <c r="S54" s="85"/>
      <c r="T54" s="108"/>
      <c r="U54" s="105"/>
    </row>
    <row r="55" spans="1:21">
      <c r="A55" s="72" t="s">
        <v>220</v>
      </c>
      <c r="B55" s="73" t="s">
        <v>100</v>
      </c>
      <c r="C55" s="256" t="s">
        <v>626</v>
      </c>
      <c r="D55" s="75" t="s">
        <v>406</v>
      </c>
      <c r="E55" s="76">
        <v>21</v>
      </c>
      <c r="I55" s="25" t="s">
        <v>220</v>
      </c>
      <c r="J55" s="26" t="s">
        <v>100</v>
      </c>
      <c r="K55" s="41" t="s">
        <v>646</v>
      </c>
      <c r="L55" s="28" t="s">
        <v>406</v>
      </c>
      <c r="M55" s="29">
        <v>21</v>
      </c>
      <c r="Q55" s="67" t="s">
        <v>277</v>
      </c>
      <c r="R55" s="104" t="s">
        <v>625</v>
      </c>
      <c r="S55" s="85"/>
      <c r="T55" s="108"/>
      <c r="U55" s="105"/>
    </row>
    <row r="56" spans="1:21">
      <c r="A56" s="25" t="s">
        <v>252</v>
      </c>
      <c r="B56" s="73" t="s">
        <v>100</v>
      </c>
      <c r="C56" s="267" t="s">
        <v>647</v>
      </c>
      <c r="D56" s="78" t="s">
        <v>406</v>
      </c>
      <c r="E56" s="76">
        <v>21</v>
      </c>
      <c r="I56" s="25" t="s">
        <v>250</v>
      </c>
      <c r="J56" s="26" t="s">
        <v>100</v>
      </c>
      <c r="K56" s="26" t="s">
        <v>251</v>
      </c>
      <c r="L56" s="229" t="s">
        <v>142</v>
      </c>
      <c r="M56" s="29">
        <v>46</v>
      </c>
      <c r="Q56" s="67" t="s">
        <v>278</v>
      </c>
      <c r="R56" s="111">
        <v>2</v>
      </c>
      <c r="S56" s="85"/>
      <c r="T56" s="108"/>
      <c r="U56" s="105"/>
    </row>
    <row r="57" spans="1:21">
      <c r="A57" s="25" t="s">
        <v>254</v>
      </c>
      <c r="B57" s="73" t="s">
        <v>100</v>
      </c>
      <c r="C57" s="267" t="s">
        <v>647</v>
      </c>
      <c r="D57" s="78" t="s">
        <v>406</v>
      </c>
      <c r="E57" s="76">
        <v>21</v>
      </c>
      <c r="I57" s="30"/>
      <c r="J57" s="31"/>
      <c r="K57" s="32"/>
      <c r="L57" s="33"/>
      <c r="M57" s="34"/>
      <c r="Q57" s="67" t="s">
        <v>282</v>
      </c>
      <c r="R57" s="104" t="s">
        <v>32</v>
      </c>
      <c r="S57" s="85"/>
      <c r="T57" s="108"/>
      <c r="U57" s="105"/>
    </row>
    <row r="58" spans="1:21">
      <c r="A58" s="79"/>
      <c r="B58" s="80"/>
      <c r="C58" s="81"/>
      <c r="D58" s="82"/>
      <c r="E58" s="83"/>
      <c r="I58" s="20" t="s">
        <v>234</v>
      </c>
      <c r="J58" s="31"/>
      <c r="K58" s="32"/>
      <c r="L58" s="33"/>
      <c r="M58" s="34"/>
      <c r="Q58" s="67"/>
      <c r="R58" s="84"/>
      <c r="S58" s="85"/>
      <c r="T58" s="108"/>
      <c r="U58" s="105"/>
    </row>
    <row r="59" spans="1:21">
      <c r="A59" s="67" t="s">
        <v>234</v>
      </c>
      <c r="B59" s="80"/>
      <c r="C59" s="81"/>
      <c r="D59" s="82"/>
      <c r="E59" s="83"/>
      <c r="I59" s="25" t="s">
        <v>250</v>
      </c>
      <c r="J59" s="35" t="s">
        <v>249</v>
      </c>
      <c r="K59" s="35" t="s">
        <v>251</v>
      </c>
      <c r="L59" s="230" t="s">
        <v>142</v>
      </c>
      <c r="M59" s="38">
        <v>46</v>
      </c>
      <c r="Q59" s="112" t="s">
        <v>284</v>
      </c>
      <c r="R59" s="112"/>
      <c r="S59" s="112"/>
      <c r="T59" s="108"/>
      <c r="U59" s="105"/>
    </row>
    <row r="60" spans="1:21">
      <c r="A60" s="25" t="s">
        <v>256</v>
      </c>
      <c r="B60" s="84" t="s">
        <v>100</v>
      </c>
      <c r="C60" s="125" t="s">
        <v>647</v>
      </c>
      <c r="D60" s="86" t="s">
        <v>406</v>
      </c>
      <c r="E60" s="87">
        <v>21</v>
      </c>
      <c r="I60" s="25" t="s">
        <v>250</v>
      </c>
      <c r="J60" s="35"/>
      <c r="K60" s="36"/>
      <c r="L60" s="37"/>
      <c r="M60" s="38"/>
      <c r="Q60" s="112"/>
      <c r="R60" s="112" t="s">
        <v>285</v>
      </c>
      <c r="S60" s="112" t="s">
        <v>15</v>
      </c>
      <c r="T60" s="112" t="s">
        <v>5</v>
      </c>
      <c r="U60" s="105"/>
    </row>
    <row r="61" spans="1:21">
      <c r="A61" s="25" t="s">
        <v>256</v>
      </c>
      <c r="B61" s="84" t="s">
        <v>249</v>
      </c>
      <c r="C61" s="125" t="s">
        <v>647</v>
      </c>
      <c r="D61" s="86" t="s">
        <v>406</v>
      </c>
      <c r="E61" s="87">
        <v>21</v>
      </c>
      <c r="I61" s="25" t="s">
        <v>250</v>
      </c>
      <c r="J61" s="35"/>
      <c r="K61" s="36"/>
      <c r="L61" s="37"/>
      <c r="M61" s="38"/>
      <c r="Q61" s="113" t="s">
        <v>393</v>
      </c>
      <c r="R61" s="113"/>
      <c r="S61" s="113"/>
      <c r="T61" s="113"/>
      <c r="U61" s="105"/>
    </row>
    <row r="62" spans="1:21">
      <c r="A62" s="25" t="s">
        <v>256</v>
      </c>
      <c r="B62" s="84" t="s">
        <v>124</v>
      </c>
      <c r="C62" s="234" t="s">
        <v>648</v>
      </c>
      <c r="D62" s="86" t="s">
        <v>410</v>
      </c>
      <c r="E62" s="87">
        <v>45</v>
      </c>
      <c r="I62" s="25" t="s">
        <v>271</v>
      </c>
      <c r="J62" s="35" t="s">
        <v>145</v>
      </c>
      <c r="K62" s="36" t="s">
        <v>273</v>
      </c>
      <c r="L62" s="37" t="s">
        <v>406</v>
      </c>
      <c r="M62" s="38">
        <v>5</v>
      </c>
      <c r="Q62" s="113" t="s">
        <v>286</v>
      </c>
      <c r="R62" s="113">
        <f>U25</f>
        <v>555</v>
      </c>
      <c r="S62" s="113">
        <v>6</v>
      </c>
      <c r="T62" s="113"/>
      <c r="U62" s="105"/>
    </row>
    <row r="63" spans="1:21">
      <c r="A63" s="72" t="s">
        <v>256</v>
      </c>
      <c r="B63" s="84" t="s">
        <v>124</v>
      </c>
      <c r="C63" s="234" t="s">
        <v>648</v>
      </c>
      <c r="D63" s="86" t="s">
        <v>410</v>
      </c>
      <c r="E63" s="87">
        <v>45</v>
      </c>
      <c r="I63" s="25" t="s">
        <v>271</v>
      </c>
      <c r="J63" s="35"/>
      <c r="K63" s="36"/>
      <c r="L63" s="37"/>
      <c r="M63" s="38"/>
      <c r="Q63" s="113" t="s">
        <v>287</v>
      </c>
      <c r="R63" s="113">
        <f>U50</f>
        <v>545</v>
      </c>
      <c r="S63" s="113">
        <v>7</v>
      </c>
      <c r="T63" s="113"/>
      <c r="U63" s="105"/>
    </row>
    <row r="64" spans="1:21">
      <c r="A64" s="72" t="s">
        <v>256</v>
      </c>
      <c r="B64" s="84" t="s">
        <v>245</v>
      </c>
      <c r="C64" s="234" t="s">
        <v>648</v>
      </c>
      <c r="D64" s="86" t="s">
        <v>410</v>
      </c>
      <c r="E64" s="87">
        <v>45</v>
      </c>
      <c r="I64" s="25" t="s">
        <v>271</v>
      </c>
      <c r="J64" s="35"/>
      <c r="K64" s="36"/>
      <c r="L64" s="37"/>
      <c r="M64" s="38"/>
      <c r="Q64" s="113" t="s">
        <v>289</v>
      </c>
      <c r="R64" s="113">
        <v>0</v>
      </c>
      <c r="S64" s="113">
        <v>0</v>
      </c>
      <c r="T64" s="113"/>
      <c r="U64" s="105"/>
    </row>
    <row r="65" spans="1:21">
      <c r="A65" s="72" t="s">
        <v>256</v>
      </c>
      <c r="B65" s="101" t="s">
        <v>249</v>
      </c>
      <c r="C65" s="234" t="s">
        <v>649</v>
      </c>
      <c r="D65" s="86" t="s">
        <v>406</v>
      </c>
      <c r="E65" s="87">
        <v>54</v>
      </c>
      <c r="I65" s="25" t="s">
        <v>271</v>
      </c>
      <c r="J65" s="35"/>
      <c r="K65" s="36"/>
      <c r="L65" s="37"/>
      <c r="M65" s="38"/>
      <c r="Q65" s="113" t="s">
        <v>396</v>
      </c>
      <c r="R65" s="113">
        <v>0</v>
      </c>
      <c r="S65" s="113">
        <v>0</v>
      </c>
      <c r="T65" s="113"/>
      <c r="U65" s="105"/>
    </row>
    <row r="66" spans="1:21">
      <c r="A66" s="72" t="s">
        <v>256</v>
      </c>
      <c r="B66" s="101" t="s">
        <v>249</v>
      </c>
      <c r="C66" s="234" t="s">
        <v>650</v>
      </c>
      <c r="D66" s="86" t="s">
        <v>406</v>
      </c>
      <c r="E66" s="87">
        <v>49</v>
      </c>
      <c r="I66" s="15"/>
      <c r="J66" s="31"/>
      <c r="K66" s="32"/>
      <c r="L66" s="33"/>
      <c r="M66" s="34"/>
      <c r="Q66" s="113" t="s">
        <v>397</v>
      </c>
      <c r="R66" s="113">
        <v>0</v>
      </c>
      <c r="S66" s="113">
        <v>0</v>
      </c>
      <c r="T66" s="113"/>
      <c r="U66" s="105"/>
    </row>
    <row r="67" spans="1:21">
      <c r="A67" s="72" t="s">
        <v>271</v>
      </c>
      <c r="B67" s="84"/>
      <c r="C67" s="85"/>
      <c r="D67" s="86"/>
      <c r="E67" s="87"/>
      <c r="I67" s="15"/>
      <c r="J67" s="31"/>
      <c r="K67" s="32"/>
      <c r="L67" s="33"/>
      <c r="M67" s="34"/>
      <c r="Q67" s="113" t="s">
        <v>291</v>
      </c>
      <c r="R67" s="113">
        <v>0</v>
      </c>
      <c r="S67" s="113">
        <v>0</v>
      </c>
      <c r="T67" s="113"/>
      <c r="U67" s="105"/>
    </row>
    <row r="68" spans="1:21">
      <c r="A68" s="102"/>
      <c r="B68" s="84"/>
      <c r="C68" s="85"/>
      <c r="D68" s="86"/>
      <c r="E68" s="87"/>
      <c r="I68" s="20" t="s">
        <v>242</v>
      </c>
      <c r="J68" s="35"/>
      <c r="K68" s="36"/>
      <c r="L68" s="37"/>
      <c r="M68" s="38">
        <v>118</v>
      </c>
      <c r="Q68" s="113" t="s">
        <v>288</v>
      </c>
      <c r="R68" s="113"/>
      <c r="S68" s="113">
        <v>5</v>
      </c>
      <c r="T68" s="113"/>
      <c r="U68" s="105"/>
    </row>
    <row r="69" spans="1:21" ht="45.75">
      <c r="A69" s="42"/>
      <c r="B69" s="43" t="s">
        <v>215</v>
      </c>
      <c r="C69" s="65" t="s">
        <v>216</v>
      </c>
      <c r="D69" s="66" t="s">
        <v>217</v>
      </c>
      <c r="E69" s="45" t="s">
        <v>218</v>
      </c>
      <c r="I69" s="20" t="s">
        <v>243</v>
      </c>
      <c r="J69" s="35"/>
      <c r="K69" s="36"/>
      <c r="L69" s="37"/>
      <c r="M69" s="38">
        <v>4</v>
      </c>
      <c r="Q69" s="113" t="s">
        <v>398</v>
      </c>
      <c r="R69" s="113"/>
      <c r="S69" s="113"/>
      <c r="T69" s="113"/>
      <c r="U69" s="105"/>
    </row>
    <row r="70" spans="1:21">
      <c r="A70" s="67" t="s">
        <v>219</v>
      </c>
      <c r="B70" s="68"/>
      <c r="C70" s="69"/>
      <c r="D70" s="70"/>
      <c r="E70" s="71"/>
      <c r="I70" s="338"/>
      <c r="J70" s="339"/>
      <c r="K70" s="340"/>
      <c r="L70" s="341"/>
      <c r="M70" s="342"/>
      <c r="Q70" s="113" t="s">
        <v>290</v>
      </c>
      <c r="R70" s="113">
        <v>0</v>
      </c>
      <c r="S70" s="113">
        <v>0</v>
      </c>
      <c r="T70" s="113"/>
      <c r="U70" s="105"/>
    </row>
    <row r="71" spans="1:21" ht="91.5">
      <c r="A71" s="88" t="s">
        <v>259</v>
      </c>
      <c r="B71" s="73" t="s">
        <v>162</v>
      </c>
      <c r="C71" s="257" t="s">
        <v>651</v>
      </c>
      <c r="D71" s="275" t="s">
        <v>406</v>
      </c>
      <c r="E71" s="260">
        <v>160</v>
      </c>
      <c r="I71" s="15"/>
      <c r="J71" s="16" t="s">
        <v>215</v>
      </c>
      <c r="K71" s="17" t="s">
        <v>216</v>
      </c>
      <c r="L71" s="18" t="s">
        <v>217</v>
      </c>
      <c r="M71" s="19" t="s">
        <v>218</v>
      </c>
      <c r="Q71" s="113" t="s">
        <v>399</v>
      </c>
      <c r="R71" s="113">
        <v>0</v>
      </c>
      <c r="S71" s="113">
        <v>0</v>
      </c>
      <c r="T71" s="113"/>
      <c r="U71" s="105"/>
    </row>
    <row r="72" spans="1:21" ht="32.25" customHeight="1">
      <c r="A72" s="88" t="s">
        <v>261</v>
      </c>
      <c r="B72" s="73" t="s">
        <v>162</v>
      </c>
      <c r="C72" s="257" t="s">
        <v>652</v>
      </c>
      <c r="D72" s="78" t="s">
        <v>427</v>
      </c>
      <c r="E72" s="76">
        <v>105</v>
      </c>
      <c r="I72" s="20" t="s">
        <v>219</v>
      </c>
      <c r="J72" s="21"/>
      <c r="K72" s="22"/>
      <c r="L72" s="23"/>
      <c r="M72" s="24"/>
      <c r="Q72" s="113" t="s">
        <v>400</v>
      </c>
      <c r="R72" s="113">
        <v>0</v>
      </c>
      <c r="S72" s="113">
        <v>0</v>
      </c>
      <c r="T72" s="113"/>
      <c r="U72" s="105"/>
    </row>
    <row r="73" spans="1:21" ht="60.75">
      <c r="A73" s="79"/>
      <c r="B73" s="80"/>
      <c r="C73" s="81"/>
      <c r="D73" s="82"/>
      <c r="E73" s="83"/>
      <c r="I73" s="40" t="s">
        <v>259</v>
      </c>
      <c r="J73" s="26" t="s">
        <v>162</v>
      </c>
      <c r="K73" s="41" t="s">
        <v>653</v>
      </c>
      <c r="L73" s="28" t="s">
        <v>142</v>
      </c>
      <c r="M73" s="29">
        <v>95</v>
      </c>
      <c r="Q73" s="113" t="s">
        <v>400</v>
      </c>
      <c r="R73" s="113">
        <v>0</v>
      </c>
      <c r="S73" s="113">
        <v>0</v>
      </c>
      <c r="T73" s="113"/>
      <c r="U73" s="105"/>
    </row>
    <row r="74" spans="1:21" ht="45.75">
      <c r="A74" s="67" t="s">
        <v>234</v>
      </c>
      <c r="B74" s="80"/>
      <c r="C74" s="81"/>
      <c r="D74" s="82"/>
      <c r="E74" s="83"/>
      <c r="I74" s="40" t="s">
        <v>261</v>
      </c>
      <c r="J74" s="26" t="s">
        <v>145</v>
      </c>
      <c r="K74" s="27" t="s">
        <v>654</v>
      </c>
      <c r="L74" s="229" t="s">
        <v>142</v>
      </c>
      <c r="M74" s="29">
        <v>85</v>
      </c>
      <c r="Q74" s="113"/>
      <c r="R74" s="112">
        <f>SUM(R61:R73)</f>
        <v>1100</v>
      </c>
      <c r="S74" s="112">
        <v>24</v>
      </c>
      <c r="T74" s="113"/>
      <c r="U74" s="105"/>
    </row>
    <row r="75" spans="1:21" ht="45.75">
      <c r="A75" s="88" t="s">
        <v>261</v>
      </c>
      <c r="B75" s="84"/>
      <c r="C75" s="85"/>
      <c r="D75" s="86"/>
      <c r="E75" s="87"/>
      <c r="I75" s="30"/>
      <c r="J75" s="31"/>
      <c r="K75" s="32"/>
      <c r="L75" s="33"/>
      <c r="M75" s="34"/>
    </row>
    <row r="76" spans="1:21" ht="45.75">
      <c r="A76" s="88" t="s">
        <v>261</v>
      </c>
      <c r="B76" s="84"/>
      <c r="C76" s="85"/>
      <c r="D76" s="86"/>
      <c r="E76" s="87"/>
      <c r="I76" s="20" t="s">
        <v>234</v>
      </c>
      <c r="J76" s="31"/>
      <c r="K76" s="32"/>
      <c r="L76" s="33"/>
      <c r="M76" s="34"/>
    </row>
    <row r="77" spans="1:21" ht="45.75">
      <c r="A77" s="88" t="s">
        <v>261</v>
      </c>
      <c r="B77" s="84"/>
      <c r="C77" s="85"/>
      <c r="D77" s="86"/>
      <c r="E77" s="87"/>
      <c r="I77" s="40" t="s">
        <v>261</v>
      </c>
      <c r="J77" s="35" t="s">
        <v>145</v>
      </c>
      <c r="K77" s="36" t="s">
        <v>654</v>
      </c>
      <c r="L77" s="37" t="s">
        <v>142</v>
      </c>
      <c r="M77" s="38">
        <v>85</v>
      </c>
    </row>
    <row r="78" spans="1:21" ht="45.75">
      <c r="A78" s="42"/>
      <c r="B78" s="80"/>
      <c r="C78" s="81"/>
      <c r="D78" s="82"/>
      <c r="E78" s="83"/>
      <c r="I78" s="40" t="s">
        <v>261</v>
      </c>
      <c r="J78" s="35" t="s">
        <v>145</v>
      </c>
      <c r="K78" s="36" t="s">
        <v>654</v>
      </c>
      <c r="L78" s="37" t="s">
        <v>142</v>
      </c>
      <c r="M78" s="38">
        <v>85</v>
      </c>
    </row>
    <row r="79" spans="1:21" ht="45.75">
      <c r="A79" s="42"/>
      <c r="B79" s="80"/>
      <c r="C79" s="81"/>
      <c r="D79" s="82"/>
      <c r="E79" s="83"/>
      <c r="I79" s="40" t="s">
        <v>261</v>
      </c>
      <c r="J79" s="35" t="s">
        <v>162</v>
      </c>
      <c r="K79" s="36" t="s">
        <v>654</v>
      </c>
      <c r="L79" s="37" t="s">
        <v>142</v>
      </c>
      <c r="M79" s="38">
        <v>85</v>
      </c>
    </row>
    <row r="80" spans="1:21">
      <c r="A80" s="67" t="s">
        <v>242</v>
      </c>
      <c r="B80" s="84"/>
      <c r="C80" s="85"/>
      <c r="D80" s="86"/>
      <c r="E80" s="87">
        <v>265</v>
      </c>
      <c r="I80" s="15"/>
      <c r="J80" s="31"/>
      <c r="K80" s="32"/>
      <c r="L80" s="33"/>
      <c r="M80" s="34"/>
    </row>
    <row r="81" spans="1:13">
      <c r="A81" s="67" t="s">
        <v>243</v>
      </c>
      <c r="B81" s="84"/>
      <c r="C81" s="85"/>
      <c r="D81" s="86"/>
      <c r="E81" s="87">
        <v>2</v>
      </c>
      <c r="I81" s="15"/>
      <c r="J81" s="31"/>
      <c r="K81" s="32"/>
      <c r="L81" s="33"/>
      <c r="M81" s="34"/>
    </row>
    <row r="82" spans="1:13">
      <c r="A82" s="20"/>
      <c r="B82" s="35"/>
      <c r="C82" s="36"/>
      <c r="D82" s="37"/>
      <c r="E82" s="38"/>
      <c r="I82" s="20" t="s">
        <v>242</v>
      </c>
      <c r="J82" s="35"/>
      <c r="K82" s="36"/>
      <c r="L82" s="37"/>
      <c r="M82" s="38">
        <v>435</v>
      </c>
    </row>
    <row r="83" spans="1:13">
      <c r="A83" s="20"/>
      <c r="B83" s="35"/>
      <c r="C83" s="36"/>
      <c r="D83" s="37"/>
      <c r="E83" s="38"/>
      <c r="I83" s="20" t="s">
        <v>243</v>
      </c>
      <c r="J83" s="35"/>
      <c r="K83" s="36"/>
      <c r="L83" s="37"/>
      <c r="M83" s="38">
        <v>5</v>
      </c>
    </row>
    <row r="87" spans="1:13">
      <c r="A87" s="90"/>
      <c r="B87" s="91"/>
      <c r="C87" s="92" t="s">
        <v>274</v>
      </c>
      <c r="D87" s="103"/>
      <c r="I87" s="97"/>
      <c r="J87" s="98"/>
      <c r="K87" s="99" t="s">
        <v>274</v>
      </c>
      <c r="L87" s="103"/>
    </row>
    <row r="88" spans="1:13">
      <c r="A88" s="67" t="s">
        <v>275</v>
      </c>
      <c r="B88" s="73" t="s">
        <v>645</v>
      </c>
      <c r="C88" s="81"/>
      <c r="D88" s="103"/>
      <c r="I88" s="20" t="s">
        <v>275</v>
      </c>
      <c r="J88" s="26" t="s">
        <v>42</v>
      </c>
      <c r="K88" s="32"/>
      <c r="L88" s="103"/>
    </row>
    <row r="89" spans="1:13">
      <c r="A89" s="67" t="s">
        <v>277</v>
      </c>
      <c r="B89" s="73" t="s">
        <v>655</v>
      </c>
      <c r="C89" s="81"/>
      <c r="D89" s="103"/>
      <c r="I89" s="20" t="s">
        <v>277</v>
      </c>
      <c r="J89" s="26" t="s">
        <v>656</v>
      </c>
      <c r="K89" s="32"/>
      <c r="L89" s="103"/>
    </row>
    <row r="90" spans="1:13">
      <c r="A90" s="67" t="s">
        <v>278</v>
      </c>
      <c r="B90" s="73">
        <v>1</v>
      </c>
      <c r="C90" s="81"/>
      <c r="D90" s="103"/>
      <c r="I90" s="20" t="s">
        <v>278</v>
      </c>
      <c r="J90" s="26"/>
      <c r="K90" s="32"/>
      <c r="L90" s="103"/>
    </row>
    <row r="91" spans="1:13">
      <c r="A91" s="67" t="s">
        <v>282</v>
      </c>
      <c r="B91" s="73" t="s">
        <v>657</v>
      </c>
      <c r="C91" s="81"/>
      <c r="D91" s="103"/>
      <c r="I91" s="20" t="s">
        <v>282</v>
      </c>
      <c r="J91" s="26" t="s">
        <v>31</v>
      </c>
      <c r="K91" s="32"/>
      <c r="L91" s="103"/>
    </row>
    <row r="92" spans="1:13">
      <c r="A92" s="93"/>
      <c r="B92" s="80"/>
      <c r="C92" s="81"/>
      <c r="D92" s="103"/>
      <c r="I92" s="100"/>
      <c r="J92" s="31"/>
      <c r="K92" s="32"/>
      <c r="L92" s="103"/>
    </row>
    <row r="93" spans="1:13">
      <c r="A93" s="94" t="s">
        <v>284</v>
      </c>
      <c r="B93" s="94"/>
      <c r="C93" s="94"/>
      <c r="D93" s="103"/>
      <c r="I93" s="94" t="s">
        <v>284</v>
      </c>
      <c r="J93" s="94"/>
      <c r="K93" s="94"/>
      <c r="L93" s="103"/>
    </row>
    <row r="94" spans="1:13">
      <c r="A94" s="94"/>
      <c r="B94" s="94" t="s">
        <v>285</v>
      </c>
      <c r="C94" s="94" t="s">
        <v>15</v>
      </c>
      <c r="D94" s="94" t="s">
        <v>5</v>
      </c>
      <c r="I94" s="94"/>
      <c r="J94" s="94" t="s">
        <v>285</v>
      </c>
      <c r="K94" s="94" t="s">
        <v>15</v>
      </c>
      <c r="L94" s="94" t="s">
        <v>5</v>
      </c>
    </row>
    <row r="95" spans="1:13">
      <c r="A95" s="95" t="s">
        <v>393</v>
      </c>
      <c r="B95" s="95">
        <v>0</v>
      </c>
      <c r="C95" s="95">
        <v>0</v>
      </c>
      <c r="D95" s="96"/>
      <c r="I95" s="95" t="s">
        <v>393</v>
      </c>
      <c r="J95" s="95">
        <v>0</v>
      </c>
      <c r="K95" s="95">
        <v>0</v>
      </c>
      <c r="L95" s="96"/>
    </row>
    <row r="96" spans="1:13">
      <c r="A96" s="96" t="s">
        <v>286</v>
      </c>
      <c r="B96" s="96">
        <v>229</v>
      </c>
      <c r="C96" s="96">
        <v>4</v>
      </c>
      <c r="D96" s="96"/>
      <c r="I96" s="96" t="s">
        <v>286</v>
      </c>
      <c r="J96" s="96">
        <v>331</v>
      </c>
      <c r="K96" s="96">
        <v>6</v>
      </c>
      <c r="L96" s="96"/>
    </row>
    <row r="97" spans="1:12">
      <c r="A97" s="96" t="s">
        <v>287</v>
      </c>
      <c r="B97" s="96">
        <v>263</v>
      </c>
      <c r="C97" s="96">
        <v>4</v>
      </c>
      <c r="D97" s="96"/>
      <c r="I97" s="96" t="s">
        <v>287</v>
      </c>
      <c r="J97" s="96">
        <v>216</v>
      </c>
      <c r="K97" s="96">
        <v>3</v>
      </c>
      <c r="L97" s="96"/>
    </row>
    <row r="98" spans="1:12">
      <c r="A98" s="96" t="s">
        <v>289</v>
      </c>
      <c r="B98" s="96">
        <v>343</v>
      </c>
      <c r="C98" s="96">
        <v>10</v>
      </c>
      <c r="D98" s="96"/>
      <c r="I98" s="96" t="s">
        <v>289</v>
      </c>
      <c r="J98" s="96">
        <v>0</v>
      </c>
      <c r="K98" s="96">
        <v>0</v>
      </c>
      <c r="L98" s="96"/>
    </row>
    <row r="99" spans="1:12">
      <c r="A99" s="96" t="s">
        <v>396</v>
      </c>
      <c r="B99" s="96">
        <v>0</v>
      </c>
      <c r="C99" s="96">
        <v>0</v>
      </c>
      <c r="D99" s="96"/>
      <c r="I99" s="96" t="s">
        <v>396</v>
      </c>
      <c r="J99" s="96">
        <v>0</v>
      </c>
      <c r="K99" s="96">
        <v>0</v>
      </c>
      <c r="L99" s="96"/>
    </row>
    <row r="100" spans="1:12">
      <c r="A100" s="95" t="s">
        <v>397</v>
      </c>
      <c r="B100" s="96">
        <v>0</v>
      </c>
      <c r="C100" s="96">
        <v>0</v>
      </c>
      <c r="D100" s="96"/>
      <c r="I100" s="95" t="s">
        <v>397</v>
      </c>
      <c r="J100" s="96">
        <v>0</v>
      </c>
      <c r="K100" s="96">
        <v>0</v>
      </c>
      <c r="L100" s="96"/>
    </row>
    <row r="101" spans="1:12">
      <c r="A101" s="95" t="s">
        <v>291</v>
      </c>
      <c r="B101" s="96">
        <v>0</v>
      </c>
      <c r="C101" s="96">
        <v>0</v>
      </c>
      <c r="D101" s="96"/>
      <c r="I101" s="95" t="s">
        <v>291</v>
      </c>
      <c r="J101" s="96">
        <v>0</v>
      </c>
      <c r="K101" s="96">
        <v>0</v>
      </c>
      <c r="L101" s="96"/>
    </row>
    <row r="102" spans="1:12">
      <c r="A102" s="95" t="s">
        <v>288</v>
      </c>
      <c r="B102" s="96">
        <v>0</v>
      </c>
      <c r="C102" s="96">
        <v>0</v>
      </c>
      <c r="D102" s="96"/>
      <c r="I102" s="95" t="s">
        <v>288</v>
      </c>
      <c r="J102" s="96">
        <v>118</v>
      </c>
      <c r="K102" s="96">
        <v>4</v>
      </c>
      <c r="L102" s="96"/>
    </row>
    <row r="103" spans="1:12">
      <c r="A103" s="95" t="s">
        <v>398</v>
      </c>
      <c r="B103" s="96">
        <v>0</v>
      </c>
      <c r="C103" s="96">
        <v>0</v>
      </c>
      <c r="D103" s="96"/>
      <c r="I103" s="95" t="s">
        <v>398</v>
      </c>
      <c r="J103" s="96">
        <v>0</v>
      </c>
      <c r="K103" s="96">
        <v>0</v>
      </c>
      <c r="L103" s="96"/>
    </row>
    <row r="104" spans="1:12">
      <c r="A104" s="95" t="s">
        <v>290</v>
      </c>
      <c r="B104" s="96">
        <v>265</v>
      </c>
      <c r="C104" s="96">
        <v>2</v>
      </c>
      <c r="D104" s="96"/>
      <c r="I104" s="95" t="s">
        <v>290</v>
      </c>
      <c r="J104" s="96">
        <v>435</v>
      </c>
      <c r="K104" s="96">
        <v>5</v>
      </c>
      <c r="L104" s="96"/>
    </row>
    <row r="105" spans="1:12">
      <c r="A105" s="95" t="s">
        <v>399</v>
      </c>
      <c r="B105" s="96">
        <v>0</v>
      </c>
      <c r="C105" s="96">
        <v>0</v>
      </c>
      <c r="D105" s="96"/>
      <c r="I105" s="95" t="s">
        <v>399</v>
      </c>
      <c r="J105" s="96">
        <v>0</v>
      </c>
      <c r="K105" s="96">
        <v>0</v>
      </c>
      <c r="L105" s="96"/>
    </row>
    <row r="106" spans="1:12">
      <c r="A106" s="95" t="s">
        <v>400</v>
      </c>
      <c r="B106" s="96">
        <v>0</v>
      </c>
      <c r="C106" s="96">
        <v>0</v>
      </c>
      <c r="D106" s="96"/>
      <c r="I106" s="95" t="s">
        <v>400</v>
      </c>
      <c r="J106" s="96">
        <v>0</v>
      </c>
      <c r="K106" s="96">
        <v>0</v>
      </c>
      <c r="L106" s="96"/>
    </row>
    <row r="107" spans="1:12">
      <c r="A107" s="95" t="s">
        <v>400</v>
      </c>
      <c r="B107" s="96">
        <v>0</v>
      </c>
      <c r="C107" s="96">
        <v>0</v>
      </c>
      <c r="D107" s="96"/>
      <c r="I107" s="95" t="s">
        <v>400</v>
      </c>
      <c r="J107" s="96">
        <v>0</v>
      </c>
      <c r="K107" s="96">
        <v>0</v>
      </c>
      <c r="L107" s="96"/>
    </row>
    <row r="108" spans="1:12">
      <c r="A108" s="96"/>
      <c r="B108" s="94">
        <v>1100</v>
      </c>
      <c r="C108" s="94">
        <v>20</v>
      </c>
      <c r="D108" s="96"/>
      <c r="I108" s="96"/>
      <c r="J108" s="94">
        <v>1100</v>
      </c>
      <c r="K108" s="94">
        <v>18</v>
      </c>
      <c r="L108" s="9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F60-9F2D-45CD-B515-5BED3D7AAD87}">
  <dimension ref="A1:V108"/>
  <sheetViews>
    <sheetView workbookViewId="0">
      <selection activeCell="A98" sqref="A98"/>
    </sheetView>
  </sheetViews>
  <sheetFormatPr defaultRowHeight="15"/>
  <cols>
    <col min="1" max="1" width="37.7109375" bestFit="1" customWidth="1"/>
    <col min="3" max="3" width="37.5703125" bestFit="1" customWidth="1"/>
    <col min="9" max="9" width="37.7109375" bestFit="1" customWidth="1"/>
    <col min="10" max="10" width="19.140625" bestFit="1" customWidth="1"/>
    <col min="11" max="11" width="35.85546875" bestFit="1" customWidth="1"/>
    <col min="17" max="17" width="37.7109375" bestFit="1" customWidth="1"/>
    <col min="18" max="18" width="19.140625" bestFit="1" customWidth="1"/>
    <col min="19" max="19" width="31.7109375" bestFit="1" customWidth="1"/>
  </cols>
  <sheetData>
    <row r="1" spans="1:21">
      <c r="C1" t="s">
        <v>37</v>
      </c>
      <c r="K1" t="s">
        <v>37</v>
      </c>
      <c r="S1" t="s">
        <v>37</v>
      </c>
    </row>
    <row r="2" spans="1:21">
      <c r="A2" t="s">
        <v>36</v>
      </c>
      <c r="B2" t="s">
        <v>31</v>
      </c>
      <c r="C2" t="s">
        <v>116</v>
      </c>
      <c r="I2" t="s">
        <v>35</v>
      </c>
      <c r="J2" t="s">
        <v>31</v>
      </c>
      <c r="K2" t="s">
        <v>658</v>
      </c>
      <c r="Q2" t="s">
        <v>31</v>
      </c>
      <c r="R2" t="s">
        <v>31</v>
      </c>
      <c r="S2" t="s">
        <v>659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141"/>
      <c r="R3" s="142" t="s">
        <v>215</v>
      </c>
      <c r="S3" s="143" t="s">
        <v>216</v>
      </c>
      <c r="T3" s="144" t="s">
        <v>217</v>
      </c>
      <c r="U3" s="145" t="s">
        <v>218</v>
      </c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146" t="s">
        <v>219</v>
      </c>
      <c r="R4" s="147"/>
      <c r="S4" s="148"/>
      <c r="T4" s="149"/>
      <c r="U4" s="150"/>
    </row>
    <row r="5" spans="1:21">
      <c r="A5" s="72" t="s">
        <v>220</v>
      </c>
      <c r="B5" s="111" t="s">
        <v>373</v>
      </c>
      <c r="C5" s="254" t="s">
        <v>660</v>
      </c>
      <c r="D5" s="115" t="s">
        <v>142</v>
      </c>
      <c r="E5" s="107">
        <v>6</v>
      </c>
      <c r="F5" t="s">
        <v>346</v>
      </c>
      <c r="I5" s="72" t="s">
        <v>220</v>
      </c>
      <c r="J5" s="73" t="s">
        <v>100</v>
      </c>
      <c r="K5" s="256" t="s">
        <v>661</v>
      </c>
      <c r="L5" s="75" t="s">
        <v>142</v>
      </c>
      <c r="M5" s="76">
        <v>35</v>
      </c>
      <c r="Q5" s="151" t="s">
        <v>220</v>
      </c>
      <c r="R5" s="152" t="s">
        <v>249</v>
      </c>
      <c r="S5" s="287" t="s">
        <v>662</v>
      </c>
      <c r="T5" s="153" t="s">
        <v>127</v>
      </c>
      <c r="U5" s="154">
        <v>21</v>
      </c>
    </row>
    <row r="6" spans="1:21">
      <c r="A6" s="72" t="s">
        <v>226</v>
      </c>
      <c r="B6" s="111" t="s">
        <v>373</v>
      </c>
      <c r="C6" s="255" t="s">
        <v>663</v>
      </c>
      <c r="D6" s="117" t="s">
        <v>142</v>
      </c>
      <c r="E6" s="107">
        <v>50</v>
      </c>
      <c r="I6" s="72" t="s">
        <v>226</v>
      </c>
      <c r="J6" s="73" t="s">
        <v>145</v>
      </c>
      <c r="K6" s="257" t="s">
        <v>664</v>
      </c>
      <c r="L6" s="78" t="s">
        <v>142</v>
      </c>
      <c r="M6" s="76">
        <v>65</v>
      </c>
      <c r="Q6" s="151" t="s">
        <v>226</v>
      </c>
      <c r="R6" s="155" t="s">
        <v>100</v>
      </c>
      <c r="S6" s="291" t="s">
        <v>665</v>
      </c>
      <c r="T6" s="156" t="s">
        <v>127</v>
      </c>
      <c r="U6" s="154">
        <v>44</v>
      </c>
    </row>
    <row r="7" spans="1:21">
      <c r="A7" s="72" t="s">
        <v>232</v>
      </c>
      <c r="B7" s="111" t="s">
        <v>373</v>
      </c>
      <c r="C7" s="255" t="s">
        <v>663</v>
      </c>
      <c r="D7" s="117" t="s">
        <v>142</v>
      </c>
      <c r="E7" s="107">
        <v>50</v>
      </c>
      <c r="I7" s="72" t="s">
        <v>232</v>
      </c>
      <c r="J7" s="73" t="s">
        <v>145</v>
      </c>
      <c r="K7" s="257" t="s">
        <v>664</v>
      </c>
      <c r="L7" s="78" t="s">
        <v>142</v>
      </c>
      <c r="M7" s="76">
        <v>65</v>
      </c>
      <c r="Q7" s="151" t="s">
        <v>232</v>
      </c>
      <c r="R7" s="155" t="s">
        <v>100</v>
      </c>
      <c r="S7" s="291" t="s">
        <v>666</v>
      </c>
      <c r="T7" s="156" t="s">
        <v>127</v>
      </c>
      <c r="U7" s="154">
        <v>35</v>
      </c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157"/>
      <c r="R8" s="158"/>
      <c r="S8" s="159"/>
      <c r="T8" s="160"/>
      <c r="U8" s="161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146" t="s">
        <v>234</v>
      </c>
      <c r="R9" s="158"/>
      <c r="S9" s="159"/>
      <c r="T9" s="160"/>
      <c r="U9" s="161"/>
    </row>
    <row r="10" spans="1:21">
      <c r="A10" s="72" t="s">
        <v>303</v>
      </c>
      <c r="B10" s="84" t="s">
        <v>373</v>
      </c>
      <c r="C10" s="234" t="s">
        <v>667</v>
      </c>
      <c r="D10" s="86" t="s">
        <v>142</v>
      </c>
      <c r="E10" s="87">
        <v>35</v>
      </c>
      <c r="I10" s="72" t="s">
        <v>303</v>
      </c>
      <c r="J10" s="84"/>
      <c r="K10" s="85"/>
      <c r="L10" s="86"/>
      <c r="M10" s="87"/>
      <c r="Q10" s="151" t="s">
        <v>303</v>
      </c>
      <c r="R10" s="162"/>
      <c r="S10" s="163"/>
      <c r="T10" s="164"/>
      <c r="U10" s="165"/>
    </row>
    <row r="11" spans="1:21">
      <c r="A11" s="72" t="s">
        <v>303</v>
      </c>
      <c r="B11" s="84" t="s">
        <v>373</v>
      </c>
      <c r="C11" s="234" t="s">
        <v>668</v>
      </c>
      <c r="D11" s="86" t="s">
        <v>142</v>
      </c>
      <c r="E11" s="87">
        <v>25</v>
      </c>
      <c r="I11" s="72" t="s">
        <v>303</v>
      </c>
      <c r="J11" s="84"/>
      <c r="K11" s="85"/>
      <c r="L11" s="86"/>
      <c r="M11" s="87"/>
      <c r="Q11" s="151" t="s">
        <v>303</v>
      </c>
      <c r="R11" s="162"/>
      <c r="S11" s="163"/>
      <c r="T11" s="164"/>
      <c r="U11" s="165"/>
    </row>
    <row r="12" spans="1:21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151" t="s">
        <v>305</v>
      </c>
      <c r="R12" s="162"/>
      <c r="S12" s="163"/>
      <c r="T12" s="164"/>
      <c r="U12" s="165"/>
    </row>
    <row r="13" spans="1:21">
      <c r="A13" s="72" t="s">
        <v>306</v>
      </c>
      <c r="B13" s="84" t="s">
        <v>669</v>
      </c>
      <c r="C13" s="234" t="s">
        <v>670</v>
      </c>
      <c r="D13" s="86" t="s">
        <v>142</v>
      </c>
      <c r="E13" s="87">
        <v>75</v>
      </c>
      <c r="I13" s="72" t="s">
        <v>306</v>
      </c>
      <c r="J13" s="84"/>
      <c r="K13" s="85"/>
      <c r="L13" s="86"/>
      <c r="M13" s="87"/>
      <c r="Q13" s="151" t="s">
        <v>306</v>
      </c>
      <c r="R13" s="162"/>
      <c r="S13" s="163"/>
      <c r="T13" s="164"/>
      <c r="U13" s="165"/>
    </row>
    <row r="14" spans="1:21">
      <c r="A14" s="72" t="s">
        <v>309</v>
      </c>
      <c r="B14" s="84"/>
      <c r="C14" s="85"/>
      <c r="D14" s="86"/>
      <c r="E14" s="87"/>
      <c r="I14" s="72" t="s">
        <v>309</v>
      </c>
      <c r="J14" s="84"/>
      <c r="K14" s="85"/>
      <c r="L14" s="86"/>
      <c r="M14" s="87"/>
      <c r="Q14" s="151" t="s">
        <v>309</v>
      </c>
      <c r="R14" s="162"/>
      <c r="S14" s="163"/>
      <c r="T14" s="164"/>
      <c r="U14" s="165"/>
    </row>
    <row r="15" spans="1:21">
      <c r="A15" s="72" t="s">
        <v>309</v>
      </c>
      <c r="B15" s="84"/>
      <c r="C15" s="85"/>
      <c r="D15" s="86"/>
      <c r="E15" s="87"/>
      <c r="I15" s="72" t="s">
        <v>309</v>
      </c>
      <c r="J15" s="84"/>
      <c r="K15" s="85"/>
      <c r="L15" s="86"/>
      <c r="M15" s="87"/>
      <c r="Q15" s="151" t="s">
        <v>309</v>
      </c>
      <c r="R15" s="162"/>
      <c r="S15" s="163"/>
      <c r="T15" s="164"/>
      <c r="U15" s="165"/>
    </row>
    <row r="16" spans="1:21">
      <c r="A16" s="72" t="s">
        <v>310</v>
      </c>
      <c r="B16" s="84"/>
      <c r="C16" s="85"/>
      <c r="D16" s="86"/>
      <c r="E16" s="87"/>
      <c r="I16" s="72" t="s">
        <v>310</v>
      </c>
      <c r="J16" s="84"/>
      <c r="K16" s="85"/>
      <c r="L16" s="86"/>
      <c r="M16" s="87"/>
      <c r="Q16" s="151" t="s">
        <v>310</v>
      </c>
      <c r="R16" s="162"/>
      <c r="S16" s="163"/>
      <c r="T16" s="164"/>
      <c r="U16" s="165"/>
    </row>
    <row r="17" spans="1:22">
      <c r="A17" s="72" t="s">
        <v>235</v>
      </c>
      <c r="B17" s="84"/>
      <c r="C17" s="85"/>
      <c r="D17" s="86"/>
      <c r="E17" s="87"/>
      <c r="I17" s="72" t="s">
        <v>235</v>
      </c>
      <c r="J17" s="84"/>
      <c r="K17" s="85"/>
      <c r="L17" s="86"/>
      <c r="M17" s="87"/>
      <c r="Q17" s="151" t="s">
        <v>235</v>
      </c>
      <c r="R17" s="162"/>
      <c r="S17" s="163"/>
      <c r="T17" s="164"/>
      <c r="U17" s="165"/>
    </row>
    <row r="18" spans="1:22">
      <c r="A18" s="72" t="s">
        <v>240</v>
      </c>
      <c r="B18" s="84"/>
      <c r="C18" s="85"/>
      <c r="D18" s="86"/>
      <c r="E18" s="87"/>
      <c r="I18" s="72" t="s">
        <v>240</v>
      </c>
      <c r="J18" s="84" t="s">
        <v>671</v>
      </c>
      <c r="K18" s="234" t="s">
        <v>672</v>
      </c>
      <c r="L18" s="86" t="s">
        <v>142</v>
      </c>
      <c r="M18" s="87">
        <v>16</v>
      </c>
      <c r="Q18" s="151" t="s">
        <v>240</v>
      </c>
      <c r="R18" s="162" t="s">
        <v>100</v>
      </c>
      <c r="S18" s="289" t="s">
        <v>673</v>
      </c>
      <c r="T18" s="164" t="s">
        <v>127</v>
      </c>
      <c r="U18" s="165">
        <v>50</v>
      </c>
    </row>
    <row r="19" spans="1:22">
      <c r="A19" s="72" t="s">
        <v>240</v>
      </c>
      <c r="B19" s="84"/>
      <c r="C19" s="85"/>
      <c r="D19" s="86"/>
      <c r="E19" s="87"/>
      <c r="I19" s="72" t="s">
        <v>240</v>
      </c>
      <c r="J19" s="84" t="s">
        <v>671</v>
      </c>
      <c r="K19" s="234" t="s">
        <v>672</v>
      </c>
      <c r="L19" s="86" t="s">
        <v>142</v>
      </c>
      <c r="M19" s="87">
        <v>16</v>
      </c>
      <c r="Q19" s="151" t="s">
        <v>240</v>
      </c>
      <c r="R19" s="162"/>
      <c r="S19" s="163"/>
      <c r="T19" s="164"/>
      <c r="U19" s="165"/>
    </row>
    <row r="20" spans="1:22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151" t="s">
        <v>240</v>
      </c>
      <c r="R20" s="162"/>
      <c r="S20" s="163"/>
      <c r="T20" s="164"/>
      <c r="U20" s="165"/>
    </row>
    <row r="21" spans="1:22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151" t="s">
        <v>240</v>
      </c>
      <c r="R21" s="162"/>
      <c r="S21" s="163"/>
      <c r="T21" s="164"/>
      <c r="U21" s="165"/>
    </row>
    <row r="22" spans="1:22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151" t="s">
        <v>240</v>
      </c>
      <c r="R22" s="162"/>
      <c r="S22" s="163"/>
      <c r="T22" s="164"/>
      <c r="U22" s="165"/>
    </row>
    <row r="23" spans="1:22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141"/>
      <c r="R23" s="158"/>
      <c r="S23" s="159"/>
      <c r="T23" s="160"/>
      <c r="U23" s="161"/>
    </row>
    <row r="24" spans="1:22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141"/>
      <c r="R24" s="158"/>
      <c r="S24" s="159"/>
      <c r="T24" s="160"/>
      <c r="U24" s="161"/>
    </row>
    <row r="25" spans="1:22">
      <c r="A25" s="67" t="s">
        <v>242</v>
      </c>
      <c r="B25" s="84"/>
      <c r="C25" s="85"/>
      <c r="D25" s="86"/>
      <c r="E25" s="87">
        <v>241</v>
      </c>
      <c r="I25" s="67" t="s">
        <v>242</v>
      </c>
      <c r="J25" s="84"/>
      <c r="K25" s="85"/>
      <c r="L25" s="86"/>
      <c r="M25" s="87">
        <v>197</v>
      </c>
      <c r="Q25" s="146" t="s">
        <v>242</v>
      </c>
      <c r="R25" s="162"/>
      <c r="S25" s="163"/>
      <c r="T25" s="164"/>
      <c r="U25" s="165">
        <v>150</v>
      </c>
    </row>
    <row r="26" spans="1:22">
      <c r="A26" s="67" t="s">
        <v>243</v>
      </c>
      <c r="B26" s="84"/>
      <c r="C26" s="85"/>
      <c r="D26" s="86"/>
      <c r="E26" s="87">
        <v>6</v>
      </c>
      <c r="I26" s="67" t="s">
        <v>243</v>
      </c>
      <c r="J26" s="84"/>
      <c r="K26" s="85"/>
      <c r="L26" s="86"/>
      <c r="M26" s="87">
        <v>5</v>
      </c>
      <c r="Q26" s="146" t="s">
        <v>243</v>
      </c>
      <c r="R26" s="162"/>
      <c r="S26" s="163"/>
      <c r="T26" s="164"/>
      <c r="U26" s="165">
        <v>4</v>
      </c>
    </row>
    <row r="28" spans="1:22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42"/>
      <c r="J28" s="63" t="s">
        <v>215</v>
      </c>
      <c r="K28" s="65" t="s">
        <v>216</v>
      </c>
      <c r="L28" s="66" t="s">
        <v>217</v>
      </c>
      <c r="M28" s="45" t="s">
        <v>218</v>
      </c>
      <c r="Q28" s="141"/>
      <c r="R28" s="166" t="s">
        <v>215</v>
      </c>
      <c r="S28" s="143" t="s">
        <v>216</v>
      </c>
      <c r="T28" s="144" t="s">
        <v>217</v>
      </c>
      <c r="U28" s="145" t="s">
        <v>218</v>
      </c>
    </row>
    <row r="29" spans="1:22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146" t="s">
        <v>219</v>
      </c>
      <c r="R29" s="147"/>
      <c r="S29" s="148"/>
      <c r="T29" s="149"/>
      <c r="U29" s="150"/>
    </row>
    <row r="30" spans="1:22">
      <c r="A30" s="72" t="s">
        <v>220</v>
      </c>
      <c r="B30" s="111" t="s">
        <v>373</v>
      </c>
      <c r="C30" s="254" t="s">
        <v>660</v>
      </c>
      <c r="D30" s="115" t="s">
        <v>142</v>
      </c>
      <c r="E30" s="107">
        <v>6</v>
      </c>
      <c r="F30" t="s">
        <v>346</v>
      </c>
      <c r="I30" s="72" t="s">
        <v>220</v>
      </c>
      <c r="J30" s="73" t="s">
        <v>674</v>
      </c>
      <c r="K30" s="256" t="s">
        <v>675</v>
      </c>
      <c r="L30" s="75" t="s">
        <v>142</v>
      </c>
      <c r="M30" s="76">
        <v>21</v>
      </c>
      <c r="Q30" s="151" t="s">
        <v>220</v>
      </c>
      <c r="R30" s="152" t="s">
        <v>100</v>
      </c>
      <c r="S30" s="287" t="s">
        <v>676</v>
      </c>
      <c r="T30" s="153" t="s">
        <v>127</v>
      </c>
      <c r="U30" s="154">
        <v>6</v>
      </c>
      <c r="V30" t="s">
        <v>346</v>
      </c>
    </row>
    <row r="31" spans="1:22">
      <c r="A31" s="72" t="s">
        <v>226</v>
      </c>
      <c r="B31" s="111" t="s">
        <v>373</v>
      </c>
      <c r="C31" s="254" t="s">
        <v>667</v>
      </c>
      <c r="D31" s="115" t="s">
        <v>142</v>
      </c>
      <c r="E31" s="107">
        <v>35</v>
      </c>
      <c r="I31" s="72" t="s">
        <v>226</v>
      </c>
      <c r="J31" s="73" t="s">
        <v>677</v>
      </c>
      <c r="K31" s="257" t="s">
        <v>678</v>
      </c>
      <c r="L31" s="78" t="s">
        <v>142</v>
      </c>
      <c r="M31" s="76">
        <v>81</v>
      </c>
      <c r="Q31" s="151" t="s">
        <v>226</v>
      </c>
      <c r="R31" s="155" t="s">
        <v>100</v>
      </c>
      <c r="S31" s="291" t="s">
        <v>679</v>
      </c>
      <c r="T31" s="156" t="s">
        <v>127</v>
      </c>
      <c r="U31" s="154">
        <v>50</v>
      </c>
    </row>
    <row r="32" spans="1:22">
      <c r="A32" s="72" t="s">
        <v>232</v>
      </c>
      <c r="B32" s="111" t="s">
        <v>373</v>
      </c>
      <c r="C32" s="254" t="s">
        <v>667</v>
      </c>
      <c r="D32" s="115" t="s">
        <v>142</v>
      </c>
      <c r="E32" s="107">
        <v>35</v>
      </c>
      <c r="I32" s="72" t="s">
        <v>232</v>
      </c>
      <c r="J32" s="73" t="s">
        <v>677</v>
      </c>
      <c r="K32" s="257" t="s">
        <v>680</v>
      </c>
      <c r="L32" s="78" t="s">
        <v>142</v>
      </c>
      <c r="M32" s="76">
        <v>81</v>
      </c>
      <c r="Q32" s="151" t="s">
        <v>232</v>
      </c>
      <c r="R32" s="155" t="s">
        <v>100</v>
      </c>
      <c r="S32" s="291" t="s">
        <v>679</v>
      </c>
      <c r="T32" s="156" t="s">
        <v>127</v>
      </c>
      <c r="U32" s="154">
        <v>50</v>
      </c>
    </row>
    <row r="33" spans="1:21">
      <c r="A33" s="79"/>
      <c r="B33" s="80"/>
      <c r="C33" s="81"/>
      <c r="D33" s="82"/>
      <c r="E33" s="83"/>
      <c r="I33" s="79"/>
      <c r="J33" s="80"/>
      <c r="K33" s="81"/>
      <c r="L33" s="82"/>
      <c r="M33" s="83"/>
      <c r="Q33" s="157"/>
      <c r="R33" s="158"/>
      <c r="S33" s="159"/>
      <c r="T33" s="160"/>
      <c r="U33" s="161"/>
    </row>
    <row r="34" spans="1:21">
      <c r="A34" s="67" t="s">
        <v>234</v>
      </c>
      <c r="B34" s="80"/>
      <c r="C34" s="81"/>
      <c r="D34" s="82"/>
      <c r="E34" s="83"/>
      <c r="I34" s="67" t="s">
        <v>234</v>
      </c>
      <c r="J34" s="80"/>
      <c r="K34" s="81"/>
      <c r="L34" s="82"/>
      <c r="M34" s="83"/>
      <c r="Q34" s="146" t="s">
        <v>234</v>
      </c>
      <c r="R34" s="158"/>
      <c r="S34" s="159"/>
      <c r="T34" s="160"/>
      <c r="U34" s="161"/>
    </row>
    <row r="35" spans="1:21">
      <c r="A35" s="72" t="s">
        <v>303</v>
      </c>
      <c r="B35" s="84" t="s">
        <v>373</v>
      </c>
      <c r="C35" s="234" t="s">
        <v>668</v>
      </c>
      <c r="D35" s="86" t="s">
        <v>142</v>
      </c>
      <c r="E35" s="87">
        <v>25</v>
      </c>
      <c r="I35" s="72" t="s">
        <v>303</v>
      </c>
      <c r="J35" s="84" t="s">
        <v>677</v>
      </c>
      <c r="K35" s="234" t="s">
        <v>681</v>
      </c>
      <c r="L35" s="86" t="s">
        <v>142</v>
      </c>
      <c r="M35" s="87">
        <v>65</v>
      </c>
      <c r="Q35" s="151" t="s">
        <v>303</v>
      </c>
      <c r="R35" s="162" t="s">
        <v>100</v>
      </c>
      <c r="S35" s="289" t="s">
        <v>682</v>
      </c>
      <c r="T35" s="164" t="s">
        <v>127</v>
      </c>
      <c r="U35" s="165">
        <v>25</v>
      </c>
    </row>
    <row r="36" spans="1:21">
      <c r="A36" s="72" t="s">
        <v>303</v>
      </c>
      <c r="B36" s="84" t="s">
        <v>373</v>
      </c>
      <c r="C36" s="234" t="s">
        <v>668</v>
      </c>
      <c r="D36" s="86" t="s">
        <v>142</v>
      </c>
      <c r="E36" s="87">
        <v>25</v>
      </c>
      <c r="I36" s="72" t="s">
        <v>303</v>
      </c>
      <c r="J36" s="84"/>
      <c r="K36" s="85"/>
      <c r="L36" s="86"/>
      <c r="M36" s="87"/>
      <c r="Q36" s="151" t="s">
        <v>303</v>
      </c>
      <c r="R36" s="162" t="s">
        <v>100</v>
      </c>
      <c r="S36" s="289" t="s">
        <v>682</v>
      </c>
      <c r="T36" s="164" t="s">
        <v>127</v>
      </c>
      <c r="U36" s="165">
        <v>25</v>
      </c>
    </row>
    <row r="37" spans="1:21">
      <c r="A37" s="72" t="s">
        <v>305</v>
      </c>
      <c r="B37" s="84"/>
      <c r="C37" s="85"/>
      <c r="D37" s="86"/>
      <c r="E37" s="87"/>
      <c r="I37" s="72" t="s">
        <v>305</v>
      </c>
      <c r="J37" s="84"/>
      <c r="K37" s="85"/>
      <c r="L37" s="86"/>
      <c r="M37" s="87"/>
      <c r="Q37" s="151" t="s">
        <v>305</v>
      </c>
      <c r="R37" s="162"/>
      <c r="S37" s="163"/>
      <c r="T37" s="164"/>
      <c r="U37" s="165"/>
    </row>
    <row r="38" spans="1:21">
      <c r="A38" s="72" t="s">
        <v>306</v>
      </c>
      <c r="B38" s="84"/>
      <c r="C38" s="85"/>
      <c r="D38" s="86"/>
      <c r="E38" s="87"/>
      <c r="I38" s="72" t="s">
        <v>306</v>
      </c>
      <c r="J38" s="84"/>
      <c r="K38" s="85"/>
      <c r="L38" s="86"/>
      <c r="M38" s="87"/>
      <c r="Q38" s="151" t="s">
        <v>306</v>
      </c>
      <c r="R38" s="162"/>
      <c r="S38" s="163"/>
      <c r="T38" s="164"/>
      <c r="U38" s="165"/>
    </row>
    <row r="39" spans="1:21">
      <c r="A39" s="72" t="s">
        <v>309</v>
      </c>
      <c r="B39" s="84"/>
      <c r="C39" s="85"/>
      <c r="D39" s="86"/>
      <c r="E39" s="87"/>
      <c r="I39" s="72" t="s">
        <v>309</v>
      </c>
      <c r="J39" s="84"/>
      <c r="K39" s="85"/>
      <c r="L39" s="86"/>
      <c r="M39" s="87"/>
      <c r="Q39" s="151" t="s">
        <v>309</v>
      </c>
      <c r="R39" s="162"/>
      <c r="S39" s="163"/>
      <c r="T39" s="164"/>
      <c r="U39" s="165"/>
    </row>
    <row r="40" spans="1:21">
      <c r="A40" s="72" t="s">
        <v>309</v>
      </c>
      <c r="B40" s="84"/>
      <c r="C40" s="85"/>
      <c r="D40" s="86"/>
      <c r="E40" s="87"/>
      <c r="I40" s="72" t="s">
        <v>309</v>
      </c>
      <c r="J40" s="84"/>
      <c r="K40" s="85"/>
      <c r="L40" s="86"/>
      <c r="M40" s="87"/>
      <c r="Q40" s="151" t="s">
        <v>309</v>
      </c>
      <c r="R40" s="162"/>
      <c r="S40" s="163"/>
      <c r="T40" s="164"/>
      <c r="U40" s="165"/>
    </row>
    <row r="41" spans="1:21">
      <c r="A41" s="72" t="s">
        <v>375</v>
      </c>
      <c r="B41" s="84"/>
      <c r="C41" s="85"/>
      <c r="D41" s="86"/>
      <c r="E41" s="87"/>
      <c r="I41" s="72" t="s">
        <v>375</v>
      </c>
      <c r="J41" s="84"/>
      <c r="K41" s="85"/>
      <c r="L41" s="86"/>
      <c r="M41" s="87"/>
      <c r="Q41" s="151" t="s">
        <v>375</v>
      </c>
      <c r="R41" s="162"/>
      <c r="S41" s="163"/>
      <c r="T41" s="164"/>
      <c r="U41" s="165"/>
    </row>
    <row r="42" spans="1:21">
      <c r="A42" s="72" t="s">
        <v>235</v>
      </c>
      <c r="B42" s="84" t="s">
        <v>352</v>
      </c>
      <c r="C42" s="234" t="s">
        <v>360</v>
      </c>
      <c r="D42" s="86"/>
      <c r="E42" s="87">
        <v>25</v>
      </c>
      <c r="I42" s="72" t="s">
        <v>235</v>
      </c>
      <c r="J42" s="84" t="s">
        <v>683</v>
      </c>
      <c r="K42" s="234" t="s">
        <v>672</v>
      </c>
      <c r="L42" s="86" t="s">
        <v>142</v>
      </c>
      <c r="M42" s="87">
        <v>19</v>
      </c>
      <c r="Q42" s="151" t="s">
        <v>235</v>
      </c>
      <c r="R42" s="162"/>
      <c r="S42" s="163"/>
      <c r="T42" s="164"/>
      <c r="U42" s="165"/>
    </row>
    <row r="43" spans="1:21">
      <c r="A43" s="72" t="s">
        <v>240</v>
      </c>
      <c r="B43" s="84"/>
      <c r="C43" s="85"/>
      <c r="D43" s="86"/>
      <c r="E43" s="87"/>
      <c r="I43" s="72" t="s">
        <v>240</v>
      </c>
      <c r="J43" s="84" t="s">
        <v>683</v>
      </c>
      <c r="K43" s="234" t="s">
        <v>672</v>
      </c>
      <c r="L43" s="86" t="s">
        <v>142</v>
      </c>
      <c r="M43" s="87">
        <v>19</v>
      </c>
      <c r="Q43" s="151" t="s">
        <v>240</v>
      </c>
      <c r="R43" s="162"/>
      <c r="S43" s="163"/>
      <c r="T43" s="164"/>
      <c r="U43" s="165"/>
    </row>
    <row r="44" spans="1:21">
      <c r="A44" s="72" t="s">
        <v>240</v>
      </c>
      <c r="B44" s="84"/>
      <c r="C44" s="85"/>
      <c r="D44" s="86"/>
      <c r="E44" s="87"/>
      <c r="I44" s="72" t="s">
        <v>240</v>
      </c>
      <c r="J44" s="84" t="s">
        <v>683</v>
      </c>
      <c r="K44" s="234" t="s">
        <v>672</v>
      </c>
      <c r="L44" s="86" t="s">
        <v>142</v>
      </c>
      <c r="M44" s="87">
        <v>19</v>
      </c>
      <c r="Q44" s="151" t="s">
        <v>240</v>
      </c>
      <c r="R44" s="162"/>
      <c r="S44" s="163"/>
      <c r="T44" s="164"/>
      <c r="U44" s="165"/>
    </row>
    <row r="45" spans="1:21">
      <c r="A45" s="72" t="s">
        <v>240</v>
      </c>
      <c r="B45" s="84"/>
      <c r="C45" s="85"/>
      <c r="D45" s="86"/>
      <c r="E45" s="87"/>
      <c r="I45" s="72" t="s">
        <v>240</v>
      </c>
      <c r="J45" s="84"/>
      <c r="K45" s="85"/>
      <c r="L45" s="86"/>
      <c r="M45" s="87"/>
      <c r="Q45" s="151" t="s">
        <v>240</v>
      </c>
      <c r="R45" s="162"/>
      <c r="S45" s="163"/>
      <c r="T45" s="164"/>
      <c r="U45" s="165"/>
    </row>
    <row r="46" spans="1:21">
      <c r="A46" s="72" t="s">
        <v>240</v>
      </c>
      <c r="B46" s="84"/>
      <c r="C46" s="85"/>
      <c r="D46" s="86"/>
      <c r="E46" s="87"/>
      <c r="I46" s="72" t="s">
        <v>240</v>
      </c>
      <c r="J46" s="84"/>
      <c r="K46" s="85"/>
      <c r="L46" s="86"/>
      <c r="M46" s="87"/>
      <c r="Q46" s="151" t="s">
        <v>240</v>
      </c>
      <c r="R46" s="162"/>
      <c r="S46" s="163"/>
      <c r="T46" s="164"/>
      <c r="U46" s="165"/>
    </row>
    <row r="47" spans="1:21">
      <c r="A47" s="72" t="s">
        <v>240</v>
      </c>
      <c r="B47" s="84"/>
      <c r="C47" s="85"/>
      <c r="D47" s="86"/>
      <c r="E47" s="87"/>
      <c r="I47" s="72" t="s">
        <v>240</v>
      </c>
      <c r="J47" s="84"/>
      <c r="K47" s="85"/>
      <c r="L47" s="86"/>
      <c r="M47" s="87"/>
      <c r="Q47" s="151" t="s">
        <v>240</v>
      </c>
      <c r="R47" s="162"/>
      <c r="S47" s="163"/>
      <c r="T47" s="164"/>
      <c r="U47" s="165"/>
    </row>
    <row r="48" spans="1:21">
      <c r="A48" s="42"/>
      <c r="B48" s="80"/>
      <c r="C48" s="81"/>
      <c r="D48" s="82"/>
      <c r="E48" s="83"/>
      <c r="I48" s="42"/>
      <c r="J48" s="80"/>
      <c r="K48" s="81"/>
      <c r="L48" s="82"/>
      <c r="M48" s="83"/>
      <c r="Q48" s="141"/>
      <c r="R48" s="158"/>
      <c r="S48" s="159"/>
      <c r="T48" s="160"/>
      <c r="U48" s="161"/>
    </row>
    <row r="49" spans="1:21">
      <c r="A49" s="42"/>
      <c r="B49" s="80"/>
      <c r="C49" s="81"/>
      <c r="D49" s="82"/>
      <c r="E49" s="83"/>
      <c r="I49" s="42"/>
      <c r="J49" s="80"/>
      <c r="K49" s="81"/>
      <c r="L49" s="82"/>
      <c r="M49" s="83"/>
      <c r="Q49" s="141"/>
      <c r="R49" s="158"/>
      <c r="S49" s="159"/>
      <c r="T49" s="160"/>
      <c r="U49" s="161"/>
    </row>
    <row r="50" spans="1:21">
      <c r="A50" s="67" t="s">
        <v>242</v>
      </c>
      <c r="B50" s="84"/>
      <c r="C50" s="85"/>
      <c r="D50" s="86"/>
      <c r="E50" s="87">
        <v>151</v>
      </c>
      <c r="I50" s="67" t="s">
        <v>242</v>
      </c>
      <c r="J50" s="84"/>
      <c r="K50" s="85"/>
      <c r="L50" s="86"/>
      <c r="M50" s="87">
        <v>305</v>
      </c>
      <c r="Q50" s="146" t="s">
        <v>242</v>
      </c>
      <c r="R50" s="162"/>
      <c r="S50" s="163"/>
      <c r="T50" s="164"/>
      <c r="U50" s="165">
        <v>156</v>
      </c>
    </row>
    <row r="51" spans="1:21">
      <c r="A51" s="67" t="s">
        <v>243</v>
      </c>
      <c r="B51" s="84"/>
      <c r="C51" s="85"/>
      <c r="D51" s="86"/>
      <c r="E51" s="87">
        <v>6</v>
      </c>
      <c r="I51" s="67" t="s">
        <v>243</v>
      </c>
      <c r="J51" s="84"/>
      <c r="K51" s="85"/>
      <c r="L51" s="86"/>
      <c r="M51" s="87">
        <v>7</v>
      </c>
      <c r="Q51" s="146" t="s">
        <v>243</v>
      </c>
      <c r="R51" s="162"/>
      <c r="S51" s="163"/>
      <c r="T51" s="164"/>
      <c r="U51" s="165">
        <v>5</v>
      </c>
    </row>
    <row r="53" spans="1:21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42"/>
      <c r="J53" s="43" t="s">
        <v>215</v>
      </c>
      <c r="K53" s="65" t="s">
        <v>216</v>
      </c>
      <c r="L53" s="66" t="s">
        <v>217</v>
      </c>
      <c r="M53" s="45" t="s">
        <v>218</v>
      </c>
      <c r="Q53" s="141"/>
      <c r="R53" s="142" t="s">
        <v>215</v>
      </c>
      <c r="S53" s="143" t="s">
        <v>216</v>
      </c>
      <c r="T53" s="144" t="s">
        <v>217</v>
      </c>
      <c r="U53" s="145" t="s">
        <v>218</v>
      </c>
    </row>
    <row r="54" spans="1:21">
      <c r="A54" s="67" t="s">
        <v>219</v>
      </c>
      <c r="B54" s="68"/>
      <c r="C54" s="69"/>
      <c r="D54" s="70"/>
      <c r="E54" s="71"/>
      <c r="I54" s="67" t="s">
        <v>219</v>
      </c>
      <c r="J54" s="68"/>
      <c r="K54" s="69"/>
      <c r="L54" s="70"/>
      <c r="M54" s="71"/>
      <c r="Q54" s="146" t="s">
        <v>219</v>
      </c>
      <c r="R54" s="147"/>
      <c r="S54" s="148"/>
      <c r="T54" s="149"/>
      <c r="U54" s="150"/>
    </row>
    <row r="55" spans="1:21" ht="60.75">
      <c r="A55" s="88" t="s">
        <v>259</v>
      </c>
      <c r="B55" s="111" t="s">
        <v>669</v>
      </c>
      <c r="C55" s="254" t="s">
        <v>684</v>
      </c>
      <c r="D55" s="117" t="s">
        <v>142</v>
      </c>
      <c r="E55" s="107">
        <v>100</v>
      </c>
      <c r="I55" s="88" t="s">
        <v>259</v>
      </c>
      <c r="J55" s="73" t="s">
        <v>685</v>
      </c>
      <c r="K55" s="256" t="s">
        <v>686</v>
      </c>
      <c r="L55" s="75" t="s">
        <v>142</v>
      </c>
      <c r="M55" s="76">
        <v>100</v>
      </c>
      <c r="Q55" s="167" t="s">
        <v>259</v>
      </c>
      <c r="R55" s="155" t="s">
        <v>249</v>
      </c>
      <c r="S55" s="287" t="s">
        <v>687</v>
      </c>
      <c r="T55" s="153" t="s">
        <v>127</v>
      </c>
      <c r="U55" s="154">
        <v>66</v>
      </c>
    </row>
    <row r="56" spans="1:21" ht="45.75">
      <c r="A56" s="88" t="s">
        <v>261</v>
      </c>
      <c r="B56" s="111" t="s">
        <v>669</v>
      </c>
      <c r="C56" s="254" t="s">
        <v>688</v>
      </c>
      <c r="D56" s="117" t="s">
        <v>142</v>
      </c>
      <c r="E56" s="107">
        <v>90</v>
      </c>
      <c r="I56" s="88" t="s">
        <v>261</v>
      </c>
      <c r="J56" s="73" t="s">
        <v>689</v>
      </c>
      <c r="K56" s="257" t="s">
        <v>690</v>
      </c>
      <c r="L56" s="78" t="s">
        <v>142</v>
      </c>
      <c r="M56" s="76">
        <v>120</v>
      </c>
      <c r="Q56" s="167" t="s">
        <v>261</v>
      </c>
      <c r="R56" s="155" t="s">
        <v>162</v>
      </c>
      <c r="S56" s="291" t="s">
        <v>691</v>
      </c>
      <c r="T56" s="156" t="s">
        <v>127</v>
      </c>
      <c r="U56" s="154">
        <v>85</v>
      </c>
    </row>
    <row r="57" spans="1:21">
      <c r="A57" s="79"/>
      <c r="B57" s="80"/>
      <c r="C57" s="81"/>
      <c r="D57" s="82"/>
      <c r="E57" s="83"/>
      <c r="I57" s="79"/>
      <c r="J57" s="80"/>
      <c r="K57" s="81"/>
      <c r="L57" s="82"/>
      <c r="M57" s="83"/>
      <c r="Q57" s="157"/>
      <c r="R57" s="158"/>
      <c r="S57" s="159"/>
      <c r="T57" s="160"/>
      <c r="U57" s="161"/>
    </row>
    <row r="58" spans="1:21">
      <c r="A58" s="67" t="s">
        <v>234</v>
      </c>
      <c r="B58" s="80"/>
      <c r="C58" s="81"/>
      <c r="D58" s="82"/>
      <c r="E58" s="83"/>
      <c r="I58" s="67" t="s">
        <v>234</v>
      </c>
      <c r="J58" s="80"/>
      <c r="K58" s="81"/>
      <c r="L58" s="82"/>
      <c r="M58" s="83"/>
      <c r="Q58" s="146" t="s">
        <v>234</v>
      </c>
      <c r="R58" s="158"/>
      <c r="S58" s="159"/>
      <c r="T58" s="160"/>
      <c r="U58" s="161"/>
    </row>
    <row r="59" spans="1:21" ht="45.75">
      <c r="A59" s="88" t="s">
        <v>261</v>
      </c>
      <c r="B59" s="84" t="s">
        <v>669</v>
      </c>
      <c r="C59" s="281" t="s">
        <v>688</v>
      </c>
      <c r="D59" s="86" t="s">
        <v>142</v>
      </c>
      <c r="E59" s="126">
        <v>90</v>
      </c>
      <c r="I59" s="88" t="s">
        <v>261</v>
      </c>
      <c r="J59" s="84" t="s">
        <v>692</v>
      </c>
      <c r="K59" s="234" t="s">
        <v>693</v>
      </c>
      <c r="L59" s="86" t="s">
        <v>142</v>
      </c>
      <c r="M59" s="87">
        <v>95</v>
      </c>
      <c r="Q59" s="167" t="s">
        <v>261</v>
      </c>
      <c r="R59" s="162" t="s">
        <v>100</v>
      </c>
      <c r="S59" s="289" t="s">
        <v>694</v>
      </c>
      <c r="T59" s="164" t="s">
        <v>127</v>
      </c>
      <c r="U59" s="165">
        <v>112</v>
      </c>
    </row>
    <row r="60" spans="1:21" ht="45.75">
      <c r="A60" s="88" t="s">
        <v>261</v>
      </c>
      <c r="B60" s="127" t="s">
        <v>669</v>
      </c>
      <c r="C60" s="281" t="s">
        <v>695</v>
      </c>
      <c r="D60" s="128" t="s">
        <v>142</v>
      </c>
      <c r="E60" s="126">
        <v>85</v>
      </c>
      <c r="I60" s="88" t="s">
        <v>261</v>
      </c>
      <c r="J60" s="84" t="s">
        <v>692</v>
      </c>
      <c r="K60" s="234" t="s">
        <v>693</v>
      </c>
      <c r="L60" s="86" t="s">
        <v>142</v>
      </c>
      <c r="M60" s="87">
        <v>95</v>
      </c>
      <c r="Q60" s="167" t="s">
        <v>261</v>
      </c>
      <c r="R60" s="162" t="s">
        <v>145</v>
      </c>
      <c r="S60" s="289" t="s">
        <v>694</v>
      </c>
      <c r="T60" s="164" t="s">
        <v>127</v>
      </c>
      <c r="U60" s="165">
        <v>140</v>
      </c>
    </row>
    <row r="61" spans="1:21" ht="45.75">
      <c r="A61" s="88" t="s">
        <v>261</v>
      </c>
      <c r="B61" s="127" t="s">
        <v>669</v>
      </c>
      <c r="C61" s="281" t="s">
        <v>688</v>
      </c>
      <c r="D61" s="129" t="s">
        <v>142</v>
      </c>
      <c r="E61" s="126">
        <v>90</v>
      </c>
      <c r="I61" s="88" t="s">
        <v>261</v>
      </c>
      <c r="J61" s="84" t="s">
        <v>696</v>
      </c>
      <c r="K61" s="234" t="s">
        <v>697</v>
      </c>
      <c r="L61" s="86" t="s">
        <v>142</v>
      </c>
      <c r="M61" s="87">
        <v>35</v>
      </c>
      <c r="Q61" s="167" t="s">
        <v>261</v>
      </c>
      <c r="R61" s="162" t="s">
        <v>162</v>
      </c>
      <c r="S61" s="289" t="s">
        <v>694</v>
      </c>
      <c r="T61" s="164" t="s">
        <v>127</v>
      </c>
      <c r="U61" s="165">
        <v>140</v>
      </c>
    </row>
    <row r="62" spans="1:21">
      <c r="A62" s="42"/>
      <c r="B62" s="80"/>
      <c r="C62" s="81"/>
      <c r="D62" s="82"/>
      <c r="E62" s="83"/>
      <c r="I62" s="42"/>
      <c r="J62" s="80"/>
      <c r="K62" s="81"/>
      <c r="L62" s="82"/>
      <c r="M62" s="83"/>
      <c r="Q62" s="141"/>
      <c r="R62" s="158"/>
      <c r="S62" s="159"/>
      <c r="T62" s="160"/>
      <c r="U62" s="161"/>
    </row>
    <row r="63" spans="1:21">
      <c r="A63" s="42"/>
      <c r="B63" s="80"/>
      <c r="C63" s="81"/>
      <c r="D63" s="82"/>
      <c r="E63" s="83"/>
      <c r="I63" s="42"/>
      <c r="J63" s="80"/>
      <c r="K63" s="81"/>
      <c r="L63" s="82"/>
      <c r="M63" s="83"/>
      <c r="Q63" s="141"/>
      <c r="R63" s="158"/>
      <c r="S63" s="159"/>
      <c r="T63" s="160"/>
      <c r="U63" s="161"/>
    </row>
    <row r="64" spans="1:21">
      <c r="A64" s="67" t="s">
        <v>242</v>
      </c>
      <c r="B64" s="84"/>
      <c r="C64" s="85"/>
      <c r="D64" s="86"/>
      <c r="E64" s="87">
        <v>455</v>
      </c>
      <c r="I64" s="67" t="s">
        <v>242</v>
      </c>
      <c r="J64" s="84"/>
      <c r="K64" s="85"/>
      <c r="L64" s="86"/>
      <c r="M64" s="87">
        <v>445</v>
      </c>
      <c r="Q64" s="146" t="s">
        <v>242</v>
      </c>
      <c r="R64" s="162"/>
      <c r="S64" s="163"/>
      <c r="T64" s="164"/>
      <c r="U64" s="165">
        <v>543</v>
      </c>
    </row>
    <row r="65" spans="1:21">
      <c r="A65" s="67" t="s">
        <v>243</v>
      </c>
      <c r="B65" s="84"/>
      <c r="C65" s="85"/>
      <c r="D65" s="86"/>
      <c r="E65" s="87">
        <v>5</v>
      </c>
      <c r="I65" s="67" t="s">
        <v>243</v>
      </c>
      <c r="J65" s="84"/>
      <c r="K65" s="85"/>
      <c r="L65" s="86"/>
      <c r="M65" s="87">
        <v>5</v>
      </c>
      <c r="Q65" s="146" t="s">
        <v>243</v>
      </c>
      <c r="R65" s="162"/>
      <c r="S65" s="163"/>
      <c r="T65" s="164"/>
      <c r="U65" s="165">
        <v>5</v>
      </c>
    </row>
    <row r="67" spans="1:21" ht="45.75">
      <c r="A67" s="42"/>
      <c r="B67" s="43" t="s">
        <v>215</v>
      </c>
      <c r="C67" s="65" t="s">
        <v>216</v>
      </c>
      <c r="D67" s="66" t="s">
        <v>217</v>
      </c>
      <c r="E67" s="45" t="s">
        <v>218</v>
      </c>
      <c r="I67" s="42"/>
      <c r="J67" s="43" t="s">
        <v>215</v>
      </c>
      <c r="K67" s="65" t="s">
        <v>216</v>
      </c>
      <c r="L67" s="66" t="s">
        <v>217</v>
      </c>
      <c r="M67" s="45" t="s">
        <v>218</v>
      </c>
      <c r="Q67" s="141"/>
      <c r="R67" s="142" t="s">
        <v>215</v>
      </c>
      <c r="S67" s="143" t="s">
        <v>216</v>
      </c>
      <c r="T67" s="144" t="s">
        <v>217</v>
      </c>
      <c r="U67" s="145" t="s">
        <v>218</v>
      </c>
    </row>
    <row r="68" spans="1:21">
      <c r="A68" s="67" t="s">
        <v>219</v>
      </c>
      <c r="B68" s="68"/>
      <c r="C68" s="69"/>
      <c r="D68" s="70"/>
      <c r="E68" s="71"/>
      <c r="I68" s="67" t="s">
        <v>219</v>
      </c>
      <c r="J68" s="68"/>
      <c r="K68" s="69"/>
      <c r="L68" s="70"/>
      <c r="M68" s="71"/>
      <c r="Q68" s="146" t="s">
        <v>219</v>
      </c>
      <c r="R68" s="147"/>
      <c r="S68" s="148"/>
      <c r="T68" s="149"/>
      <c r="U68" s="150"/>
    </row>
    <row r="69" spans="1:21">
      <c r="A69" s="72" t="s">
        <v>220</v>
      </c>
      <c r="B69" s="111" t="s">
        <v>373</v>
      </c>
      <c r="C69" s="254" t="s">
        <v>698</v>
      </c>
      <c r="D69" s="115" t="s">
        <v>142</v>
      </c>
      <c r="E69" s="107">
        <v>21</v>
      </c>
      <c r="I69" s="72" t="s">
        <v>220</v>
      </c>
      <c r="J69" s="73" t="s">
        <v>699</v>
      </c>
      <c r="K69" s="256" t="s">
        <v>365</v>
      </c>
      <c r="L69" s="75" t="s">
        <v>142</v>
      </c>
      <c r="M69" s="76">
        <v>21</v>
      </c>
      <c r="Q69" s="151" t="s">
        <v>220</v>
      </c>
      <c r="R69" s="152" t="s">
        <v>249</v>
      </c>
      <c r="S69" s="287" t="s">
        <v>662</v>
      </c>
      <c r="T69" s="153" t="s">
        <v>127</v>
      </c>
      <c r="U69" s="154">
        <v>21</v>
      </c>
    </row>
    <row r="70" spans="1:21">
      <c r="A70" s="72" t="s">
        <v>250</v>
      </c>
      <c r="B70" s="111" t="s">
        <v>669</v>
      </c>
      <c r="C70" s="280" t="s">
        <v>700</v>
      </c>
      <c r="D70" s="117" t="s">
        <v>142</v>
      </c>
      <c r="E70" s="107">
        <v>46</v>
      </c>
      <c r="I70" s="72" t="s">
        <v>250</v>
      </c>
      <c r="J70" s="73" t="s">
        <v>701</v>
      </c>
      <c r="K70" s="267" t="s">
        <v>702</v>
      </c>
      <c r="L70" s="78" t="s">
        <v>142</v>
      </c>
      <c r="M70" s="76">
        <v>50</v>
      </c>
      <c r="Q70" s="151" t="s">
        <v>250</v>
      </c>
      <c r="R70" s="155" t="s">
        <v>162</v>
      </c>
      <c r="S70" s="290" t="s">
        <v>703</v>
      </c>
      <c r="T70" s="156" t="s">
        <v>127</v>
      </c>
      <c r="U70" s="154">
        <v>50</v>
      </c>
    </row>
    <row r="71" spans="1:21">
      <c r="A71" s="79"/>
      <c r="B71" s="80"/>
      <c r="C71" s="81"/>
      <c r="D71" s="82"/>
      <c r="E71" s="83"/>
      <c r="I71" s="79"/>
      <c r="J71" s="80"/>
      <c r="K71" s="81"/>
      <c r="L71" s="82"/>
      <c r="M71" s="83"/>
      <c r="Q71" s="157"/>
      <c r="R71" s="158"/>
      <c r="S71" s="159"/>
      <c r="T71" s="160"/>
      <c r="U71" s="161"/>
    </row>
    <row r="72" spans="1:21">
      <c r="A72" s="67" t="s">
        <v>234</v>
      </c>
      <c r="B72" s="80"/>
      <c r="C72" s="81"/>
      <c r="D72" s="82"/>
      <c r="E72" s="83"/>
      <c r="I72" s="67" t="s">
        <v>234</v>
      </c>
      <c r="J72" s="80"/>
      <c r="K72" s="81"/>
      <c r="L72" s="82"/>
      <c r="M72" s="83"/>
      <c r="Q72" s="146" t="s">
        <v>234</v>
      </c>
      <c r="R72" s="158"/>
      <c r="S72" s="159"/>
      <c r="T72" s="160"/>
      <c r="U72" s="161"/>
    </row>
    <row r="73" spans="1:21">
      <c r="A73" s="72" t="s">
        <v>250</v>
      </c>
      <c r="B73" s="127" t="s">
        <v>373</v>
      </c>
      <c r="C73" s="282" t="s">
        <v>700</v>
      </c>
      <c r="D73" s="129" t="s">
        <v>142</v>
      </c>
      <c r="E73" s="126">
        <v>46</v>
      </c>
      <c r="I73" s="72" t="s">
        <v>250</v>
      </c>
      <c r="J73" s="84" t="s">
        <v>704</v>
      </c>
      <c r="K73" s="125" t="s">
        <v>702</v>
      </c>
      <c r="L73" s="89" t="s">
        <v>142</v>
      </c>
      <c r="M73" s="87">
        <v>50</v>
      </c>
      <c r="Q73" s="151" t="s">
        <v>250</v>
      </c>
      <c r="R73" s="162" t="s">
        <v>100</v>
      </c>
      <c r="S73" s="288" t="s">
        <v>251</v>
      </c>
      <c r="T73" s="168" t="s">
        <v>127</v>
      </c>
      <c r="U73" s="165">
        <v>46</v>
      </c>
    </row>
    <row r="74" spans="1:21">
      <c r="A74" s="72" t="s">
        <v>250</v>
      </c>
      <c r="B74" s="127" t="s">
        <v>373</v>
      </c>
      <c r="C74" s="282" t="s">
        <v>700</v>
      </c>
      <c r="D74" s="129" t="s">
        <v>142</v>
      </c>
      <c r="E74" s="126">
        <v>46</v>
      </c>
      <c r="I74" s="72" t="s">
        <v>250</v>
      </c>
      <c r="J74" s="84"/>
      <c r="K74" s="85"/>
      <c r="L74" s="86"/>
      <c r="M74" s="87"/>
      <c r="Q74" s="151" t="s">
        <v>250</v>
      </c>
      <c r="R74" s="162" t="s">
        <v>100</v>
      </c>
      <c r="S74" s="289" t="s">
        <v>251</v>
      </c>
      <c r="T74" s="164" t="s">
        <v>127</v>
      </c>
      <c r="U74" s="165">
        <v>46</v>
      </c>
    </row>
    <row r="75" spans="1:21">
      <c r="A75" s="72" t="s">
        <v>250</v>
      </c>
      <c r="B75" s="127" t="s">
        <v>373</v>
      </c>
      <c r="C75" s="282" t="s">
        <v>700</v>
      </c>
      <c r="D75" s="129" t="s">
        <v>142</v>
      </c>
      <c r="E75" s="126">
        <v>46</v>
      </c>
      <c r="I75" s="72" t="s">
        <v>250</v>
      </c>
      <c r="J75" s="84"/>
      <c r="K75" s="85"/>
      <c r="L75" s="86"/>
      <c r="M75" s="87"/>
      <c r="Q75" s="151" t="s">
        <v>250</v>
      </c>
      <c r="R75" s="162" t="s">
        <v>249</v>
      </c>
      <c r="S75" s="289" t="s">
        <v>251</v>
      </c>
      <c r="T75" s="164" t="s">
        <v>127</v>
      </c>
      <c r="U75" s="165">
        <v>46</v>
      </c>
    </row>
    <row r="76" spans="1:21">
      <c r="A76" s="72" t="s">
        <v>271</v>
      </c>
      <c r="B76" s="84" t="s">
        <v>705</v>
      </c>
      <c r="C76" s="234" t="s">
        <v>706</v>
      </c>
      <c r="D76" s="86" t="s">
        <v>142</v>
      </c>
      <c r="E76" s="87">
        <v>6</v>
      </c>
      <c r="I76" s="72" t="s">
        <v>271</v>
      </c>
      <c r="J76" s="84" t="s">
        <v>707</v>
      </c>
      <c r="K76" s="234" t="s">
        <v>672</v>
      </c>
      <c r="L76" s="86" t="s">
        <v>142</v>
      </c>
      <c r="M76" s="87">
        <v>16</v>
      </c>
      <c r="Q76" s="151" t="s">
        <v>271</v>
      </c>
      <c r="R76" s="162"/>
      <c r="S76" s="163"/>
      <c r="T76" s="164"/>
      <c r="U76" s="165"/>
    </row>
    <row r="77" spans="1:21">
      <c r="A77" s="72" t="s">
        <v>271</v>
      </c>
      <c r="B77" s="84"/>
      <c r="C77" s="85"/>
      <c r="D77" s="86"/>
      <c r="E77" s="87"/>
      <c r="I77" s="72" t="s">
        <v>271</v>
      </c>
      <c r="J77" s="84" t="s">
        <v>707</v>
      </c>
      <c r="K77" s="234" t="s">
        <v>672</v>
      </c>
      <c r="L77" s="86" t="s">
        <v>142</v>
      </c>
      <c r="M77" s="87">
        <v>16</v>
      </c>
      <c r="Q77" s="151" t="s">
        <v>271</v>
      </c>
      <c r="R77" s="162"/>
      <c r="S77" s="163"/>
      <c r="T77" s="164"/>
      <c r="U77" s="165"/>
    </row>
    <row r="78" spans="1:21">
      <c r="A78" s="72" t="s">
        <v>271</v>
      </c>
      <c r="B78" s="84"/>
      <c r="C78" s="85"/>
      <c r="D78" s="86"/>
      <c r="E78" s="87"/>
      <c r="I78" s="72" t="s">
        <v>271</v>
      </c>
      <c r="J78" s="84"/>
      <c r="K78" s="85"/>
      <c r="L78" s="86"/>
      <c r="M78" s="87"/>
      <c r="Q78" s="151" t="s">
        <v>271</v>
      </c>
      <c r="R78" s="162"/>
      <c r="S78" s="163"/>
      <c r="T78" s="164"/>
      <c r="U78" s="165"/>
    </row>
    <row r="79" spans="1:21">
      <c r="A79" s="72" t="s">
        <v>271</v>
      </c>
      <c r="B79" s="84"/>
      <c r="C79" s="85"/>
      <c r="D79" s="86"/>
      <c r="E79" s="87"/>
      <c r="I79" s="72" t="s">
        <v>271</v>
      </c>
      <c r="J79" s="84"/>
      <c r="K79" s="85"/>
      <c r="L79" s="86"/>
      <c r="M79" s="87"/>
      <c r="Q79" s="151" t="s">
        <v>271</v>
      </c>
      <c r="R79" s="162"/>
      <c r="S79" s="163"/>
      <c r="T79" s="164"/>
      <c r="U79" s="165"/>
    </row>
    <row r="80" spans="1:21">
      <c r="A80" s="42"/>
      <c r="B80" s="80"/>
      <c r="C80" s="81"/>
      <c r="D80" s="82"/>
      <c r="E80" s="83"/>
      <c r="I80" s="42"/>
      <c r="J80" s="80"/>
      <c r="K80" s="81"/>
      <c r="L80" s="82"/>
      <c r="M80" s="83"/>
      <c r="Q80" s="141"/>
      <c r="R80" s="158"/>
      <c r="S80" s="159"/>
      <c r="T80" s="160"/>
      <c r="U80" s="161"/>
    </row>
    <row r="81" spans="1:21">
      <c r="A81" s="42"/>
      <c r="B81" s="80"/>
      <c r="C81" s="81"/>
      <c r="D81" s="82"/>
      <c r="E81" s="83"/>
      <c r="I81" s="42"/>
      <c r="J81" s="80"/>
      <c r="K81" s="81"/>
      <c r="L81" s="82"/>
      <c r="M81" s="83"/>
      <c r="Q81" s="141"/>
      <c r="R81" s="158"/>
      <c r="S81" s="159"/>
      <c r="T81" s="160"/>
      <c r="U81" s="161"/>
    </row>
    <row r="82" spans="1:21">
      <c r="A82" s="67" t="s">
        <v>242</v>
      </c>
      <c r="B82" s="84"/>
      <c r="C82" s="85"/>
      <c r="D82" s="86"/>
      <c r="E82" s="87">
        <v>211</v>
      </c>
      <c r="I82" s="67" t="s">
        <v>242</v>
      </c>
      <c r="J82" s="84"/>
      <c r="K82" s="85"/>
      <c r="L82" s="86"/>
      <c r="M82" s="87">
        <v>153</v>
      </c>
      <c r="Q82" s="146" t="s">
        <v>242</v>
      </c>
      <c r="R82" s="162"/>
      <c r="S82" s="163"/>
      <c r="T82" s="164"/>
      <c r="U82" s="165">
        <v>209</v>
      </c>
    </row>
    <row r="83" spans="1:21">
      <c r="A83" s="67" t="s">
        <v>243</v>
      </c>
      <c r="B83" s="84"/>
      <c r="C83" s="85"/>
      <c r="D83" s="86"/>
      <c r="E83" s="87">
        <v>6</v>
      </c>
      <c r="I83" s="67" t="s">
        <v>243</v>
      </c>
      <c r="J83" s="84"/>
      <c r="K83" s="85"/>
      <c r="L83" s="86"/>
      <c r="M83" s="87">
        <v>5</v>
      </c>
      <c r="Q83" s="146" t="s">
        <v>243</v>
      </c>
      <c r="R83" s="162"/>
      <c r="S83" s="163"/>
      <c r="T83" s="164"/>
      <c r="U83" s="165">
        <v>5</v>
      </c>
    </row>
    <row r="87" spans="1:21">
      <c r="A87" s="90"/>
      <c r="B87" s="91"/>
      <c r="C87" s="92" t="s">
        <v>274</v>
      </c>
      <c r="D87" s="103"/>
    </row>
    <row r="88" spans="1:21">
      <c r="A88" s="67" t="s">
        <v>275</v>
      </c>
      <c r="B88" s="111" t="s">
        <v>31</v>
      </c>
      <c r="C88" s="81"/>
      <c r="D88" s="103"/>
    </row>
    <row r="89" spans="1:21">
      <c r="A89" s="67" t="s">
        <v>277</v>
      </c>
      <c r="B89" s="111" t="s">
        <v>708</v>
      </c>
      <c r="C89" s="81"/>
      <c r="D89" s="103"/>
    </row>
    <row r="90" spans="1:21">
      <c r="A90" s="67" t="s">
        <v>278</v>
      </c>
      <c r="B90" s="111">
        <v>1</v>
      </c>
      <c r="C90" s="81"/>
      <c r="D90" s="103"/>
      <c r="I90" s="67" t="s">
        <v>278</v>
      </c>
      <c r="J90" s="73">
        <v>2</v>
      </c>
      <c r="K90" s="81"/>
      <c r="L90" s="103"/>
      <c r="Q90" s="146" t="s">
        <v>278</v>
      </c>
      <c r="R90" s="155"/>
      <c r="S90" s="159"/>
      <c r="T90" s="169"/>
    </row>
    <row r="91" spans="1:21">
      <c r="A91" s="67" t="s">
        <v>282</v>
      </c>
      <c r="B91" s="111" t="s">
        <v>36</v>
      </c>
      <c r="C91" s="81"/>
      <c r="D91" s="103"/>
      <c r="I91" s="67" t="s">
        <v>282</v>
      </c>
      <c r="J91" s="73" t="s">
        <v>35</v>
      </c>
      <c r="K91" s="81"/>
      <c r="L91" s="103"/>
      <c r="Q91" s="146" t="s">
        <v>282</v>
      </c>
      <c r="R91" s="155" t="s">
        <v>31</v>
      </c>
      <c r="S91" s="159"/>
      <c r="T91" s="169"/>
    </row>
    <row r="92" spans="1:21">
      <c r="A92" s="93"/>
      <c r="B92" s="80"/>
      <c r="C92" s="81"/>
      <c r="D92" s="103"/>
      <c r="I92" s="93"/>
      <c r="J92" s="80"/>
      <c r="K92" s="81"/>
      <c r="L92" s="103"/>
      <c r="Q92" s="170"/>
      <c r="R92" s="158"/>
      <c r="S92" s="159"/>
      <c r="T92" s="169"/>
    </row>
    <row r="93" spans="1:21">
      <c r="A93" s="112" t="s">
        <v>284</v>
      </c>
      <c r="B93" s="112"/>
      <c r="C93" s="112"/>
      <c r="D93" s="103"/>
      <c r="I93" s="94" t="s">
        <v>284</v>
      </c>
      <c r="J93" s="94"/>
      <c r="K93" s="94"/>
      <c r="L93" s="103"/>
      <c r="Q93" s="171" t="s">
        <v>284</v>
      </c>
      <c r="R93" s="171"/>
      <c r="S93" s="171"/>
      <c r="T93" s="169"/>
    </row>
    <row r="94" spans="1:21">
      <c r="A94" s="112"/>
      <c r="B94" s="112" t="s">
        <v>285</v>
      </c>
      <c r="C94" s="112" t="s">
        <v>15</v>
      </c>
      <c r="D94" s="112" t="s">
        <v>5</v>
      </c>
      <c r="I94" s="94"/>
      <c r="J94" s="94" t="s">
        <v>285</v>
      </c>
      <c r="K94" s="94" t="s">
        <v>15</v>
      </c>
      <c r="L94" s="94" t="s">
        <v>5</v>
      </c>
      <c r="Q94" s="171"/>
      <c r="R94" s="171" t="s">
        <v>285</v>
      </c>
      <c r="S94" s="171" t="s">
        <v>15</v>
      </c>
      <c r="T94" s="171" t="s">
        <v>5</v>
      </c>
    </row>
    <row r="95" spans="1:21">
      <c r="A95" s="113" t="s">
        <v>393</v>
      </c>
      <c r="B95" s="113">
        <v>42</v>
      </c>
      <c r="C95" s="113">
        <v>1</v>
      </c>
      <c r="D95" s="113" t="s">
        <v>709</v>
      </c>
      <c r="I95" s="95" t="s">
        <v>393</v>
      </c>
      <c r="J95" s="95">
        <v>0</v>
      </c>
      <c r="K95" s="95">
        <v>0</v>
      </c>
      <c r="L95" s="96"/>
      <c r="Q95" s="172" t="s">
        <v>393</v>
      </c>
      <c r="R95" s="172">
        <v>42</v>
      </c>
      <c r="S95" s="172">
        <v>1</v>
      </c>
      <c r="T95" s="173" t="s">
        <v>710</v>
      </c>
    </row>
    <row r="96" spans="1:21">
      <c r="A96" s="113" t="s">
        <v>286</v>
      </c>
      <c r="B96" s="113">
        <v>241</v>
      </c>
      <c r="C96" s="113">
        <v>6</v>
      </c>
      <c r="D96" s="113"/>
      <c r="I96" s="96" t="s">
        <v>286</v>
      </c>
      <c r="J96" s="96">
        <f>M25</f>
        <v>197</v>
      </c>
      <c r="K96" s="96">
        <v>5</v>
      </c>
      <c r="L96" s="96"/>
      <c r="Q96" s="173" t="s">
        <v>286</v>
      </c>
      <c r="R96" s="173">
        <v>150</v>
      </c>
      <c r="S96" s="173">
        <v>4</v>
      </c>
      <c r="T96" s="173"/>
    </row>
    <row r="97" spans="1:20">
      <c r="A97" s="113" t="s">
        <v>287</v>
      </c>
      <c r="B97" s="113">
        <v>151</v>
      </c>
      <c r="C97" s="113">
        <v>6</v>
      </c>
      <c r="D97" s="113"/>
      <c r="I97" s="96" t="s">
        <v>287</v>
      </c>
      <c r="J97" s="96">
        <f>M50</f>
        <v>305</v>
      </c>
      <c r="K97" s="96">
        <v>7</v>
      </c>
      <c r="L97" s="96"/>
      <c r="Q97" s="173" t="s">
        <v>287</v>
      </c>
      <c r="R97" s="173">
        <v>156</v>
      </c>
      <c r="S97" s="173">
        <v>5</v>
      </c>
      <c r="T97" s="173"/>
    </row>
    <row r="98" spans="1:20">
      <c r="A98" s="113" t="s">
        <v>289</v>
      </c>
      <c r="B98" s="113">
        <v>0</v>
      </c>
      <c r="C98" s="113">
        <v>0</v>
      </c>
      <c r="D98" s="113"/>
      <c r="I98" s="96" t="s">
        <v>289</v>
      </c>
      <c r="J98" s="96">
        <v>0</v>
      </c>
      <c r="K98" s="96">
        <v>0</v>
      </c>
      <c r="L98" s="96"/>
      <c r="Q98" s="173" t="s">
        <v>289</v>
      </c>
      <c r="R98" s="173">
        <v>0</v>
      </c>
      <c r="S98" s="173">
        <v>0</v>
      </c>
      <c r="T98" s="173"/>
    </row>
    <row r="99" spans="1:20">
      <c r="A99" s="113" t="s">
        <v>396</v>
      </c>
      <c r="B99" s="113">
        <v>0</v>
      </c>
      <c r="C99" s="113">
        <v>0</v>
      </c>
      <c r="D99" s="113"/>
      <c r="I99" s="96" t="s">
        <v>396</v>
      </c>
      <c r="J99" s="96">
        <v>0</v>
      </c>
      <c r="K99" s="96">
        <v>0</v>
      </c>
      <c r="L99" s="96"/>
      <c r="Q99" s="173" t="s">
        <v>396</v>
      </c>
      <c r="R99" s="173">
        <v>0</v>
      </c>
      <c r="S99" s="173">
        <v>0</v>
      </c>
      <c r="T99" s="173"/>
    </row>
    <row r="100" spans="1:20">
      <c r="A100" s="113" t="s">
        <v>397</v>
      </c>
      <c r="B100" s="113">
        <v>0</v>
      </c>
      <c r="C100" s="113">
        <v>0</v>
      </c>
      <c r="D100" s="113"/>
      <c r="I100" s="95" t="s">
        <v>397</v>
      </c>
      <c r="J100" s="96">
        <v>0</v>
      </c>
      <c r="K100" s="96">
        <v>0</v>
      </c>
      <c r="L100" s="96"/>
      <c r="Q100" s="172" t="s">
        <v>397</v>
      </c>
      <c r="R100" s="173">
        <v>0</v>
      </c>
      <c r="S100" s="173">
        <v>0</v>
      </c>
      <c r="T100" s="173"/>
    </row>
    <row r="101" spans="1:20">
      <c r="A101" s="113" t="s">
        <v>291</v>
      </c>
      <c r="B101" s="113">
        <v>0</v>
      </c>
      <c r="C101" s="113">
        <v>0</v>
      </c>
      <c r="D101" s="113"/>
      <c r="I101" s="95" t="s">
        <v>291</v>
      </c>
      <c r="J101" s="96">
        <v>0</v>
      </c>
      <c r="K101" s="96">
        <v>0</v>
      </c>
      <c r="L101" s="96"/>
      <c r="Q101" s="172" t="s">
        <v>291</v>
      </c>
      <c r="R101" s="173">
        <v>0</v>
      </c>
      <c r="S101" s="173">
        <v>0</v>
      </c>
      <c r="T101" s="173"/>
    </row>
    <row r="102" spans="1:20">
      <c r="A102" s="113" t="s">
        <v>288</v>
      </c>
      <c r="B102" s="113">
        <v>211</v>
      </c>
      <c r="C102" s="113">
        <v>6</v>
      </c>
      <c r="D102" s="113"/>
      <c r="I102" s="95" t="s">
        <v>288</v>
      </c>
      <c r="J102" s="96">
        <f>M82</f>
        <v>153</v>
      </c>
      <c r="K102" s="96">
        <v>5</v>
      </c>
      <c r="L102" s="96"/>
      <c r="Q102" s="172" t="s">
        <v>288</v>
      </c>
      <c r="R102" s="173">
        <v>209</v>
      </c>
      <c r="S102" s="173">
        <v>5</v>
      </c>
      <c r="T102" s="173"/>
    </row>
    <row r="103" spans="1:20">
      <c r="A103" s="113" t="s">
        <v>398</v>
      </c>
      <c r="B103" s="113">
        <v>0</v>
      </c>
      <c r="C103" s="113">
        <v>0</v>
      </c>
      <c r="D103" s="113"/>
      <c r="I103" s="95" t="s">
        <v>398</v>
      </c>
      <c r="J103" s="96">
        <v>0</v>
      </c>
      <c r="K103" s="96">
        <v>0</v>
      </c>
      <c r="L103" s="96"/>
      <c r="Q103" s="172" t="s">
        <v>398</v>
      </c>
      <c r="R103" s="173">
        <v>0</v>
      </c>
      <c r="S103" s="173">
        <v>0</v>
      </c>
      <c r="T103" s="173"/>
    </row>
    <row r="104" spans="1:20">
      <c r="A104" s="113" t="s">
        <v>290</v>
      </c>
      <c r="B104" s="113">
        <v>455</v>
      </c>
      <c r="C104" s="113">
        <v>5</v>
      </c>
      <c r="D104" s="113"/>
      <c r="I104" s="95" t="s">
        <v>290</v>
      </c>
      <c r="J104" s="96">
        <f>M64</f>
        <v>445</v>
      </c>
      <c r="K104" s="96">
        <v>5</v>
      </c>
      <c r="L104" s="96"/>
      <c r="Q104" s="172" t="s">
        <v>290</v>
      </c>
      <c r="R104" s="173">
        <v>543</v>
      </c>
      <c r="S104" s="173">
        <v>5</v>
      </c>
      <c r="T104" s="173"/>
    </row>
    <row r="105" spans="1:20">
      <c r="A105" s="113" t="s">
        <v>399</v>
      </c>
      <c r="B105" s="113">
        <v>0</v>
      </c>
      <c r="C105" s="113">
        <v>0</v>
      </c>
      <c r="D105" s="113"/>
      <c r="I105" s="95" t="s">
        <v>399</v>
      </c>
      <c r="J105" s="96">
        <v>0</v>
      </c>
      <c r="K105" s="96">
        <v>0</v>
      </c>
      <c r="L105" s="96"/>
      <c r="Q105" s="172" t="s">
        <v>399</v>
      </c>
      <c r="R105" s="173">
        <v>0</v>
      </c>
      <c r="S105" s="173">
        <v>0</v>
      </c>
      <c r="T105" s="173"/>
    </row>
    <row r="106" spans="1:20">
      <c r="A106" s="113" t="s">
        <v>400</v>
      </c>
      <c r="B106" s="113">
        <v>0</v>
      </c>
      <c r="C106" s="113">
        <v>0</v>
      </c>
      <c r="D106" s="113"/>
      <c r="I106" s="95" t="s">
        <v>400</v>
      </c>
      <c r="J106" s="96">
        <v>0</v>
      </c>
      <c r="K106" s="96">
        <v>0</v>
      </c>
      <c r="L106" s="96"/>
      <c r="Q106" s="172" t="s">
        <v>400</v>
      </c>
      <c r="R106" s="173">
        <v>0</v>
      </c>
      <c r="S106" s="173">
        <v>0</v>
      </c>
      <c r="T106" s="173"/>
    </row>
    <row r="107" spans="1:20">
      <c r="A107" s="113" t="s">
        <v>400</v>
      </c>
      <c r="B107" s="113">
        <v>0</v>
      </c>
      <c r="C107" s="113">
        <v>0</v>
      </c>
      <c r="D107" s="113"/>
      <c r="I107" s="95" t="s">
        <v>400</v>
      </c>
      <c r="J107" s="96">
        <v>0</v>
      </c>
      <c r="K107" s="96">
        <v>0</v>
      </c>
      <c r="L107" s="96"/>
      <c r="Q107" s="172" t="s">
        <v>400</v>
      </c>
      <c r="R107" s="173">
        <v>0</v>
      </c>
      <c r="S107" s="173">
        <v>0</v>
      </c>
      <c r="T107" s="173"/>
    </row>
    <row r="108" spans="1:20">
      <c r="A108" s="113"/>
      <c r="B108" s="112">
        <v>1100</v>
      </c>
      <c r="C108" s="112">
        <v>24</v>
      </c>
      <c r="D108" s="113"/>
      <c r="I108" s="96"/>
      <c r="J108" s="94">
        <f>SUM(J95:J107)</f>
        <v>1100</v>
      </c>
      <c r="K108" s="94">
        <v>22</v>
      </c>
      <c r="L108" s="96"/>
      <c r="Q108" s="173"/>
      <c r="R108" s="171">
        <v>1100</v>
      </c>
      <c r="S108" s="171">
        <v>20</v>
      </c>
      <c r="T108" s="1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F583-87D6-4D42-B8BD-D22D1F9C7FA8}">
  <dimension ref="A1:U106"/>
  <sheetViews>
    <sheetView topLeftCell="J55" workbookViewId="0">
      <selection activeCell="AF3" sqref="AF3"/>
    </sheetView>
  </sheetViews>
  <sheetFormatPr defaultRowHeight="15"/>
  <cols>
    <col min="1" max="1" width="26.5703125" bestFit="1" customWidth="1"/>
    <col min="2" max="2" width="19.140625" bestFit="1" customWidth="1"/>
    <col min="3" max="3" width="34.28515625" bestFit="1" customWidth="1"/>
    <col min="9" max="9" width="26.5703125" bestFit="1" customWidth="1"/>
    <col min="11" max="11" width="31.7109375" bestFit="1" customWidth="1"/>
    <col min="17" max="17" width="26.5703125" bestFit="1" customWidth="1"/>
    <col min="19" max="19" width="31.7109375" bestFit="1" customWidth="1"/>
  </cols>
  <sheetData>
    <row r="1" spans="1:21">
      <c r="K1" t="s">
        <v>37</v>
      </c>
    </row>
    <row r="2" spans="1:21">
      <c r="A2" t="s">
        <v>31</v>
      </c>
      <c r="B2" t="s">
        <v>44</v>
      </c>
      <c r="C2" t="s">
        <v>711</v>
      </c>
      <c r="I2" t="s">
        <v>30</v>
      </c>
      <c r="J2" t="s">
        <v>44</v>
      </c>
      <c r="K2" t="s">
        <v>712</v>
      </c>
      <c r="Q2" t="s">
        <v>32</v>
      </c>
      <c r="R2" t="s">
        <v>44</v>
      </c>
      <c r="S2" t="s">
        <v>713</v>
      </c>
    </row>
    <row r="3" spans="1:21" ht="45.75">
      <c r="A3" s="42"/>
      <c r="B3" s="43" t="s">
        <v>215</v>
      </c>
      <c r="C3" s="65" t="s">
        <v>216</v>
      </c>
      <c r="D3" s="66" t="s">
        <v>217</v>
      </c>
      <c r="E3" s="45" t="s">
        <v>218</v>
      </c>
      <c r="I3" s="42"/>
      <c r="J3" s="43" t="s">
        <v>215</v>
      </c>
      <c r="K3" s="65" t="s">
        <v>216</v>
      </c>
      <c r="L3" s="66" t="s">
        <v>217</v>
      </c>
      <c r="M3" s="45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1">
      <c r="A4" s="67" t="s">
        <v>219</v>
      </c>
      <c r="B4" s="68"/>
      <c r="C4" s="69"/>
      <c r="D4" s="70"/>
      <c r="E4" s="71"/>
      <c r="I4" s="67" t="s">
        <v>219</v>
      </c>
      <c r="J4" s="68"/>
      <c r="K4" s="69"/>
      <c r="L4" s="70"/>
      <c r="M4" s="71"/>
      <c r="Q4" s="67" t="s">
        <v>219</v>
      </c>
      <c r="R4" s="68"/>
      <c r="S4" s="69"/>
      <c r="T4" s="70"/>
      <c r="U4" s="71"/>
    </row>
    <row r="5" spans="1:21">
      <c r="A5" s="72" t="s">
        <v>220</v>
      </c>
      <c r="B5" s="73" t="s">
        <v>714</v>
      </c>
      <c r="C5" s="74" t="s">
        <v>715</v>
      </c>
      <c r="D5" s="75" t="s">
        <v>629</v>
      </c>
      <c r="E5" s="76">
        <v>21</v>
      </c>
      <c r="I5" s="72" t="s">
        <v>220</v>
      </c>
      <c r="J5" s="26" t="s">
        <v>100</v>
      </c>
      <c r="K5" s="271" t="s">
        <v>716</v>
      </c>
      <c r="L5" s="28" t="s">
        <v>78</v>
      </c>
      <c r="M5" s="76">
        <v>21</v>
      </c>
      <c r="Q5" s="72" t="s">
        <v>220</v>
      </c>
      <c r="R5" s="73" t="s">
        <v>100</v>
      </c>
      <c r="S5" s="256" t="s">
        <v>716</v>
      </c>
      <c r="T5" s="75" t="s">
        <v>78</v>
      </c>
      <c r="U5" s="76">
        <v>21</v>
      </c>
    </row>
    <row r="6" spans="1:21" ht="30.75">
      <c r="A6" s="72" t="s">
        <v>226</v>
      </c>
      <c r="B6" s="73" t="s">
        <v>585</v>
      </c>
      <c r="C6" s="77" t="s">
        <v>717</v>
      </c>
      <c r="D6" s="78" t="s">
        <v>142</v>
      </c>
      <c r="E6" s="76">
        <v>115</v>
      </c>
      <c r="I6" s="72" t="s">
        <v>226</v>
      </c>
      <c r="J6" s="26" t="s">
        <v>124</v>
      </c>
      <c r="K6" s="268" t="s">
        <v>718</v>
      </c>
      <c r="L6" s="229" t="s">
        <v>78</v>
      </c>
      <c r="M6" s="76">
        <v>100</v>
      </c>
      <c r="Q6" s="72" t="s">
        <v>226</v>
      </c>
      <c r="R6" s="73" t="s">
        <v>145</v>
      </c>
      <c r="S6" s="268" t="s">
        <v>719</v>
      </c>
      <c r="T6" s="78" t="s">
        <v>78</v>
      </c>
      <c r="U6" s="76">
        <v>89</v>
      </c>
    </row>
    <row r="7" spans="1:21" ht="30.75">
      <c r="A7" s="72" t="s">
        <v>232</v>
      </c>
      <c r="B7" s="73" t="s">
        <v>227</v>
      </c>
      <c r="C7" s="77" t="s">
        <v>720</v>
      </c>
      <c r="D7" s="78" t="s">
        <v>721</v>
      </c>
      <c r="E7" s="76">
        <v>50</v>
      </c>
      <c r="I7" s="72" t="s">
        <v>232</v>
      </c>
      <c r="J7" s="26" t="s">
        <v>124</v>
      </c>
      <c r="K7" s="268" t="s">
        <v>722</v>
      </c>
      <c r="L7" s="229" t="s">
        <v>78</v>
      </c>
      <c r="M7" s="76">
        <v>75</v>
      </c>
      <c r="Q7" s="72" t="s">
        <v>232</v>
      </c>
      <c r="R7" s="73" t="s">
        <v>145</v>
      </c>
      <c r="S7" s="268" t="s">
        <v>719</v>
      </c>
      <c r="T7" s="78" t="s">
        <v>78</v>
      </c>
      <c r="U7" s="76">
        <v>89</v>
      </c>
    </row>
    <row r="8" spans="1:21">
      <c r="A8" s="79"/>
      <c r="B8" s="80"/>
      <c r="C8" s="81"/>
      <c r="D8" s="82"/>
      <c r="E8" s="83"/>
      <c r="I8" s="79"/>
      <c r="J8" s="80"/>
      <c r="K8" s="81"/>
      <c r="L8" s="82"/>
      <c r="M8" s="83"/>
      <c r="Q8" s="79"/>
      <c r="R8" s="80"/>
      <c r="S8" s="81"/>
      <c r="T8" s="82"/>
      <c r="U8" s="83"/>
    </row>
    <row r="9" spans="1:21">
      <c r="A9" s="67" t="s">
        <v>234</v>
      </c>
      <c r="B9" s="80"/>
      <c r="C9" s="81"/>
      <c r="D9" s="82"/>
      <c r="E9" s="83"/>
      <c r="I9" s="67" t="s">
        <v>234</v>
      </c>
      <c r="J9" s="80"/>
      <c r="K9" s="81"/>
      <c r="L9" s="82"/>
      <c r="M9" s="83"/>
      <c r="Q9" s="67" t="s">
        <v>234</v>
      </c>
      <c r="R9" s="80"/>
      <c r="S9" s="81"/>
      <c r="T9" s="82"/>
      <c r="U9" s="83"/>
    </row>
    <row r="10" spans="1:21" ht="30.75">
      <c r="A10" s="72" t="s">
        <v>303</v>
      </c>
      <c r="B10" s="84"/>
      <c r="C10" s="85"/>
      <c r="D10" s="86"/>
      <c r="E10" s="87"/>
      <c r="I10" s="72" t="s">
        <v>303</v>
      </c>
      <c r="J10" s="84"/>
      <c r="K10" s="85"/>
      <c r="L10" s="86"/>
      <c r="M10" s="87"/>
      <c r="Q10" s="72" t="s">
        <v>240</v>
      </c>
      <c r="R10" s="84" t="s">
        <v>145</v>
      </c>
      <c r="S10" s="279" t="s">
        <v>723</v>
      </c>
      <c r="T10" s="86" t="s">
        <v>78</v>
      </c>
      <c r="U10" s="87">
        <v>68</v>
      </c>
    </row>
    <row r="11" spans="1:21" ht="30.75">
      <c r="A11" s="72" t="s">
        <v>303</v>
      </c>
      <c r="B11" s="84"/>
      <c r="C11" s="85"/>
      <c r="D11" s="86"/>
      <c r="E11" s="87"/>
      <c r="I11" s="72" t="s">
        <v>303</v>
      </c>
      <c r="J11" s="84"/>
      <c r="K11" s="85"/>
      <c r="L11" s="86"/>
      <c r="M11" s="87"/>
      <c r="Q11" s="72" t="s">
        <v>240</v>
      </c>
      <c r="R11" s="84" t="s">
        <v>145</v>
      </c>
      <c r="S11" s="279" t="s">
        <v>723</v>
      </c>
      <c r="T11" s="86" t="s">
        <v>78</v>
      </c>
      <c r="U11" s="87">
        <v>68</v>
      </c>
    </row>
    <row r="12" spans="1:21">
      <c r="A12" s="72" t="s">
        <v>305</v>
      </c>
      <c r="B12" s="84"/>
      <c r="C12" s="85"/>
      <c r="D12" s="86"/>
      <c r="E12" s="87"/>
      <c r="I12" s="72" t="s">
        <v>305</v>
      </c>
      <c r="J12" s="84"/>
      <c r="K12" s="85"/>
      <c r="L12" s="86"/>
      <c r="M12" s="87"/>
      <c r="Q12" s="42"/>
      <c r="R12" s="80"/>
      <c r="S12" s="81"/>
      <c r="T12" s="82"/>
      <c r="U12" s="83"/>
    </row>
    <row r="13" spans="1:21">
      <c r="A13" s="72" t="s">
        <v>306</v>
      </c>
      <c r="B13" s="84"/>
      <c r="C13" s="85"/>
      <c r="D13" s="86"/>
      <c r="E13" s="87"/>
      <c r="I13" s="72" t="s">
        <v>306</v>
      </c>
      <c r="J13" s="84"/>
      <c r="K13" s="85"/>
      <c r="L13" s="86"/>
      <c r="M13" s="87"/>
      <c r="Q13" s="42"/>
      <c r="R13" s="80"/>
      <c r="S13" s="81"/>
      <c r="T13" s="82"/>
      <c r="U13" s="83"/>
    </row>
    <row r="14" spans="1:21">
      <c r="A14" s="72" t="s">
        <v>309</v>
      </c>
      <c r="B14" s="84"/>
      <c r="C14" s="85"/>
      <c r="D14" s="86"/>
      <c r="E14" s="87"/>
      <c r="I14" s="72" t="s">
        <v>309</v>
      </c>
      <c r="J14" s="84"/>
      <c r="K14" s="85"/>
      <c r="L14" s="86"/>
      <c r="M14" s="87"/>
      <c r="Q14" s="67" t="s">
        <v>242</v>
      </c>
      <c r="R14" s="84"/>
      <c r="S14" s="85"/>
      <c r="T14" s="86"/>
      <c r="U14" s="87">
        <v>335</v>
      </c>
    </row>
    <row r="15" spans="1:21">
      <c r="A15" s="72" t="s">
        <v>309</v>
      </c>
      <c r="B15" s="84"/>
      <c r="C15" s="85"/>
      <c r="D15" s="86"/>
      <c r="E15" s="87"/>
      <c r="I15" s="72" t="s">
        <v>309</v>
      </c>
      <c r="J15" s="84"/>
      <c r="K15" s="85"/>
      <c r="L15" s="86"/>
      <c r="M15" s="87"/>
      <c r="Q15" s="67" t="s">
        <v>243</v>
      </c>
      <c r="R15" s="84"/>
      <c r="S15" s="85"/>
      <c r="T15" s="86"/>
      <c r="U15" s="87">
        <v>5</v>
      </c>
    </row>
    <row r="16" spans="1:21">
      <c r="A16" s="72" t="s">
        <v>310</v>
      </c>
      <c r="B16" s="84" t="s">
        <v>227</v>
      </c>
      <c r="C16" s="85" t="s">
        <v>724</v>
      </c>
      <c r="D16" s="86" t="s">
        <v>629</v>
      </c>
      <c r="E16" s="87">
        <v>52</v>
      </c>
      <c r="I16" s="72" t="s">
        <v>310</v>
      </c>
      <c r="J16" s="84"/>
      <c r="K16" s="85"/>
      <c r="L16" s="86"/>
      <c r="M16" s="87"/>
    </row>
    <row r="17" spans="1:21" ht="45.75">
      <c r="A17" s="72" t="s">
        <v>235</v>
      </c>
      <c r="B17" s="84"/>
      <c r="C17" s="85"/>
      <c r="D17" s="86"/>
      <c r="E17" s="87"/>
      <c r="I17" s="72" t="s">
        <v>235</v>
      </c>
      <c r="J17" s="35" t="s">
        <v>145</v>
      </c>
      <c r="K17" s="270" t="s">
        <v>433</v>
      </c>
      <c r="L17" s="37" t="s">
        <v>78</v>
      </c>
      <c r="M17" s="87">
        <v>25</v>
      </c>
      <c r="Q17" s="42"/>
      <c r="R17" s="63" t="s">
        <v>215</v>
      </c>
      <c r="S17" s="65" t="s">
        <v>216</v>
      </c>
      <c r="T17" s="66" t="s">
        <v>217</v>
      </c>
      <c r="U17" s="45" t="s">
        <v>218</v>
      </c>
    </row>
    <row r="18" spans="1:21">
      <c r="A18" s="72" t="s">
        <v>240</v>
      </c>
      <c r="B18" s="84" t="s">
        <v>221</v>
      </c>
      <c r="C18" s="85" t="s">
        <v>725</v>
      </c>
      <c r="D18" s="86" t="s">
        <v>629</v>
      </c>
      <c r="E18" s="87">
        <v>17</v>
      </c>
      <c r="I18" s="72" t="s">
        <v>240</v>
      </c>
      <c r="J18" s="84"/>
      <c r="K18" s="85"/>
      <c r="L18" s="86"/>
      <c r="M18" s="87"/>
      <c r="Q18" s="67" t="s">
        <v>219</v>
      </c>
      <c r="R18" s="68"/>
      <c r="S18" s="69"/>
      <c r="T18" s="70"/>
      <c r="U18" s="71"/>
    </row>
    <row r="19" spans="1:21">
      <c r="A19" s="72" t="s">
        <v>240</v>
      </c>
      <c r="B19" s="84"/>
      <c r="C19" s="85"/>
      <c r="D19" s="86"/>
      <c r="E19" s="87"/>
      <c r="I19" s="72" t="s">
        <v>240</v>
      </c>
      <c r="J19" s="84"/>
      <c r="K19" s="85"/>
      <c r="L19" s="86"/>
      <c r="M19" s="87"/>
      <c r="Q19" s="72" t="s">
        <v>220</v>
      </c>
      <c r="R19" s="73" t="s">
        <v>100</v>
      </c>
      <c r="S19" s="256" t="s">
        <v>716</v>
      </c>
      <c r="T19" s="75" t="s">
        <v>78</v>
      </c>
      <c r="U19" s="76">
        <v>21</v>
      </c>
    </row>
    <row r="20" spans="1:21" ht="30.75">
      <c r="A20" s="72" t="s">
        <v>240</v>
      </c>
      <c r="B20" s="84"/>
      <c r="C20" s="85"/>
      <c r="D20" s="86"/>
      <c r="E20" s="87"/>
      <c r="I20" s="72" t="s">
        <v>240</v>
      </c>
      <c r="J20" s="84"/>
      <c r="K20" s="85"/>
      <c r="L20" s="86"/>
      <c r="M20" s="87"/>
      <c r="Q20" s="72" t="s">
        <v>226</v>
      </c>
      <c r="R20" s="73" t="s">
        <v>145</v>
      </c>
      <c r="S20" s="268" t="s">
        <v>726</v>
      </c>
      <c r="T20" s="78" t="s">
        <v>78</v>
      </c>
      <c r="U20" s="76">
        <v>94</v>
      </c>
    </row>
    <row r="21" spans="1:21" ht="30.75">
      <c r="A21" s="72" t="s">
        <v>240</v>
      </c>
      <c r="B21" s="84"/>
      <c r="C21" s="85"/>
      <c r="D21" s="86"/>
      <c r="E21" s="87"/>
      <c r="I21" s="72" t="s">
        <v>240</v>
      </c>
      <c r="J21" s="84"/>
      <c r="K21" s="85"/>
      <c r="L21" s="86"/>
      <c r="M21" s="87"/>
      <c r="Q21" s="72" t="s">
        <v>232</v>
      </c>
      <c r="R21" s="73" t="s">
        <v>145</v>
      </c>
      <c r="S21" s="268" t="s">
        <v>726</v>
      </c>
      <c r="T21" s="78" t="s">
        <v>78</v>
      </c>
      <c r="U21" s="76">
        <v>94</v>
      </c>
    </row>
    <row r="22" spans="1:21">
      <c r="A22" s="72" t="s">
        <v>240</v>
      </c>
      <c r="B22" s="84"/>
      <c r="C22" s="85"/>
      <c r="D22" s="86"/>
      <c r="E22" s="87"/>
      <c r="I22" s="72" t="s">
        <v>240</v>
      </c>
      <c r="J22" s="84"/>
      <c r="K22" s="85"/>
      <c r="L22" s="86"/>
      <c r="M22" s="87"/>
      <c r="Q22" s="79"/>
      <c r="R22" s="80"/>
      <c r="S22" s="81"/>
      <c r="T22" s="82"/>
      <c r="U22" s="83"/>
    </row>
    <row r="23" spans="1:21">
      <c r="A23" s="42"/>
      <c r="B23" s="80"/>
      <c r="C23" s="81"/>
      <c r="D23" s="82"/>
      <c r="E23" s="83"/>
      <c r="I23" s="42"/>
      <c r="J23" s="80"/>
      <c r="K23" s="81"/>
      <c r="L23" s="82"/>
      <c r="M23" s="83"/>
      <c r="Q23" s="42"/>
      <c r="R23" s="80"/>
      <c r="S23" s="81"/>
      <c r="T23" s="82"/>
      <c r="U23" s="83"/>
    </row>
    <row r="24" spans="1:21">
      <c r="A24" s="42"/>
      <c r="B24" s="80"/>
      <c r="C24" s="81"/>
      <c r="D24" s="82"/>
      <c r="E24" s="83"/>
      <c r="I24" s="42"/>
      <c r="J24" s="80"/>
      <c r="K24" s="81"/>
      <c r="L24" s="82"/>
      <c r="M24" s="83"/>
      <c r="Q24" s="67" t="s">
        <v>242</v>
      </c>
      <c r="R24" s="84"/>
      <c r="S24" s="85"/>
      <c r="T24" s="86"/>
      <c r="U24" s="87">
        <v>209</v>
      </c>
    </row>
    <row r="25" spans="1:21">
      <c r="A25" s="67" t="s">
        <v>242</v>
      </c>
      <c r="B25" s="84"/>
      <c r="C25" s="85"/>
      <c r="D25" s="86"/>
      <c r="E25" s="87">
        <v>255</v>
      </c>
      <c r="I25" s="67" t="s">
        <v>242</v>
      </c>
      <c r="J25" s="84"/>
      <c r="K25" s="85"/>
      <c r="L25" s="86"/>
      <c r="M25" s="87">
        <v>221</v>
      </c>
      <c r="Q25" s="67" t="s">
        <v>243</v>
      </c>
      <c r="R25" s="84"/>
      <c r="S25" s="85"/>
      <c r="T25" s="86"/>
      <c r="U25" s="87">
        <v>3</v>
      </c>
    </row>
    <row r="26" spans="1:21">
      <c r="A26" s="67" t="s">
        <v>243</v>
      </c>
      <c r="B26" s="84"/>
      <c r="C26" s="85"/>
      <c r="D26" s="86"/>
      <c r="E26" s="87">
        <v>5</v>
      </c>
      <c r="I26" s="67" t="s">
        <v>243</v>
      </c>
      <c r="J26" s="84"/>
      <c r="K26" s="85"/>
      <c r="L26" s="86"/>
      <c r="M26" s="87">
        <v>4</v>
      </c>
    </row>
    <row r="28" spans="1:21" ht="45.75">
      <c r="A28" s="42"/>
      <c r="B28" s="63" t="s">
        <v>215</v>
      </c>
      <c r="C28" s="65" t="s">
        <v>216</v>
      </c>
      <c r="D28" s="66" t="s">
        <v>217</v>
      </c>
      <c r="E28" s="45" t="s">
        <v>218</v>
      </c>
      <c r="I28" s="42"/>
      <c r="J28" s="63" t="s">
        <v>215</v>
      </c>
      <c r="K28" s="65" t="s">
        <v>216</v>
      </c>
      <c r="L28" s="66" t="s">
        <v>217</v>
      </c>
      <c r="M28" s="45" t="s">
        <v>218</v>
      </c>
      <c r="Q28" s="42"/>
      <c r="R28" s="4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67" t="s">
        <v>219</v>
      </c>
      <c r="B29" s="68"/>
      <c r="C29" s="69"/>
      <c r="D29" s="70"/>
      <c r="E29" s="71"/>
      <c r="I29" s="67" t="s">
        <v>219</v>
      </c>
      <c r="J29" s="68"/>
      <c r="K29" s="69"/>
      <c r="L29" s="70"/>
      <c r="M29" s="71"/>
      <c r="Q29" s="67" t="s">
        <v>219</v>
      </c>
      <c r="R29" s="68"/>
      <c r="S29" s="69"/>
      <c r="T29" s="70"/>
      <c r="U29" s="71"/>
    </row>
    <row r="30" spans="1:21">
      <c r="A30" s="72" t="s">
        <v>220</v>
      </c>
      <c r="B30" s="73" t="s">
        <v>714</v>
      </c>
      <c r="C30" s="74" t="s">
        <v>715</v>
      </c>
      <c r="D30" s="75" t="s">
        <v>629</v>
      </c>
      <c r="E30" s="76">
        <v>21</v>
      </c>
      <c r="I30" s="72" t="s">
        <v>220</v>
      </c>
      <c r="J30" s="26" t="s">
        <v>100</v>
      </c>
      <c r="K30" s="271" t="s">
        <v>716</v>
      </c>
      <c r="L30" s="28" t="s">
        <v>78</v>
      </c>
      <c r="M30" s="76">
        <v>21</v>
      </c>
      <c r="Q30" s="72" t="s">
        <v>220</v>
      </c>
      <c r="R30" s="73" t="s">
        <v>100</v>
      </c>
      <c r="S30" s="256" t="s">
        <v>727</v>
      </c>
      <c r="T30" s="75" t="s">
        <v>78</v>
      </c>
      <c r="U30" s="76">
        <v>28</v>
      </c>
    </row>
    <row r="31" spans="1:21" ht="30.75">
      <c r="A31" s="72" t="s">
        <v>226</v>
      </c>
      <c r="B31" s="73" t="s">
        <v>585</v>
      </c>
      <c r="C31" s="77" t="s">
        <v>728</v>
      </c>
      <c r="D31" s="78" t="s">
        <v>629</v>
      </c>
      <c r="E31" s="76">
        <v>120</v>
      </c>
      <c r="I31" s="72" t="s">
        <v>226</v>
      </c>
      <c r="J31" s="26" t="s">
        <v>124</v>
      </c>
      <c r="K31" s="268" t="s">
        <v>718</v>
      </c>
      <c r="L31" s="229" t="s">
        <v>78</v>
      </c>
      <c r="M31" s="76">
        <v>100</v>
      </c>
      <c r="Q31" s="25" t="s">
        <v>252</v>
      </c>
      <c r="R31" s="73" t="s">
        <v>145</v>
      </c>
      <c r="S31" s="257" t="s">
        <v>729</v>
      </c>
      <c r="T31" s="78" t="s">
        <v>78</v>
      </c>
      <c r="U31" s="76">
        <v>55</v>
      </c>
    </row>
    <row r="32" spans="1:21">
      <c r="A32" s="72" t="s">
        <v>232</v>
      </c>
      <c r="B32" s="73" t="s">
        <v>227</v>
      </c>
      <c r="C32" s="77" t="s">
        <v>720</v>
      </c>
      <c r="D32" s="78" t="s">
        <v>721</v>
      </c>
      <c r="E32" s="76">
        <v>50</v>
      </c>
      <c r="I32" s="72" t="s">
        <v>232</v>
      </c>
      <c r="J32" s="26" t="s">
        <v>145</v>
      </c>
      <c r="K32" s="268" t="s">
        <v>730</v>
      </c>
      <c r="L32" s="229" t="s">
        <v>78</v>
      </c>
      <c r="M32" s="76">
        <v>80</v>
      </c>
      <c r="Q32" s="25" t="s">
        <v>254</v>
      </c>
      <c r="R32" s="73" t="s">
        <v>145</v>
      </c>
      <c r="S32" s="257" t="s">
        <v>729</v>
      </c>
      <c r="T32" s="78" t="s">
        <v>78</v>
      </c>
      <c r="U32" s="76">
        <v>55</v>
      </c>
    </row>
    <row r="33" spans="1:21">
      <c r="A33" s="79"/>
      <c r="B33" s="80"/>
      <c r="C33" s="81"/>
      <c r="D33" s="82"/>
      <c r="E33" s="83"/>
      <c r="I33" s="79"/>
      <c r="J33" s="80"/>
      <c r="K33" s="81"/>
      <c r="L33" s="82"/>
      <c r="M33" s="83"/>
      <c r="Q33" s="79"/>
      <c r="R33" s="80"/>
      <c r="S33" s="81"/>
      <c r="T33" s="82"/>
      <c r="U33" s="83"/>
    </row>
    <row r="34" spans="1:21">
      <c r="A34" s="67" t="s">
        <v>234</v>
      </c>
      <c r="B34" s="80"/>
      <c r="C34" s="81"/>
      <c r="D34" s="82"/>
      <c r="E34" s="83"/>
      <c r="I34" s="67" t="s">
        <v>234</v>
      </c>
      <c r="J34" s="80"/>
      <c r="K34" s="81"/>
      <c r="L34" s="82"/>
      <c r="M34" s="83"/>
      <c r="Q34" s="42"/>
      <c r="R34" s="80"/>
      <c r="S34" s="81"/>
      <c r="T34" s="82"/>
      <c r="U34" s="83"/>
    </row>
    <row r="35" spans="1:21">
      <c r="A35" s="72" t="s">
        <v>303</v>
      </c>
      <c r="B35" s="84"/>
      <c r="C35" s="85"/>
      <c r="D35" s="86"/>
      <c r="E35" s="87"/>
      <c r="I35" s="72" t="s">
        <v>303</v>
      </c>
      <c r="J35" s="84"/>
      <c r="K35" s="85"/>
      <c r="L35" s="86"/>
      <c r="M35" s="87"/>
      <c r="Q35" s="67" t="s">
        <v>242</v>
      </c>
      <c r="R35" s="84"/>
      <c r="S35" s="85"/>
      <c r="T35" s="86"/>
      <c r="U35" s="87">
        <v>138</v>
      </c>
    </row>
    <row r="36" spans="1:21">
      <c r="A36" s="72" t="s">
        <v>303</v>
      </c>
      <c r="B36" s="84"/>
      <c r="C36" s="85"/>
      <c r="D36" s="86"/>
      <c r="E36" s="87"/>
      <c r="I36" s="72" t="s">
        <v>303</v>
      </c>
      <c r="J36" s="84"/>
      <c r="K36" s="85"/>
      <c r="L36" s="86"/>
      <c r="M36" s="87"/>
      <c r="Q36" s="67" t="s">
        <v>243</v>
      </c>
      <c r="R36" s="84"/>
      <c r="S36" s="85"/>
      <c r="T36" s="86"/>
      <c r="U36" s="87">
        <v>3</v>
      </c>
    </row>
    <row r="37" spans="1:21">
      <c r="A37" s="72" t="s">
        <v>305</v>
      </c>
      <c r="B37" s="84"/>
      <c r="C37" s="85"/>
      <c r="D37" s="86"/>
      <c r="E37" s="87"/>
      <c r="I37" s="72" t="s">
        <v>305</v>
      </c>
      <c r="J37" s="84"/>
      <c r="K37" s="85"/>
      <c r="L37" s="86"/>
      <c r="M37" s="87"/>
    </row>
    <row r="38" spans="1:21" ht="45.75">
      <c r="A38" s="72" t="s">
        <v>306</v>
      </c>
      <c r="B38" s="84"/>
      <c r="C38" s="85"/>
      <c r="D38" s="86"/>
      <c r="E38" s="87"/>
      <c r="I38" s="72" t="s">
        <v>306</v>
      </c>
      <c r="J38" s="84"/>
      <c r="K38" s="85"/>
      <c r="L38" s="86"/>
      <c r="M38" s="87"/>
      <c r="Q38" s="42"/>
      <c r="R38" s="43" t="s">
        <v>215</v>
      </c>
      <c r="S38" s="65" t="s">
        <v>216</v>
      </c>
      <c r="T38" s="66" t="s">
        <v>217</v>
      </c>
      <c r="U38" s="45" t="s">
        <v>218</v>
      </c>
    </row>
    <row r="39" spans="1:21">
      <c r="A39" s="72" t="s">
        <v>309</v>
      </c>
      <c r="B39" s="84"/>
      <c r="C39" s="85"/>
      <c r="D39" s="86"/>
      <c r="E39" s="87"/>
      <c r="I39" s="72" t="s">
        <v>309</v>
      </c>
      <c r="J39" s="84"/>
      <c r="K39" s="85"/>
      <c r="L39" s="86"/>
      <c r="M39" s="87"/>
      <c r="Q39" s="67" t="s">
        <v>219</v>
      </c>
      <c r="R39" s="68"/>
      <c r="S39" s="69"/>
      <c r="T39" s="70"/>
      <c r="U39" s="71"/>
    </row>
    <row r="40" spans="1:21" ht="76.5">
      <c r="A40" s="72" t="s">
        <v>309</v>
      </c>
      <c r="B40" s="84"/>
      <c r="C40" s="85"/>
      <c r="D40" s="86"/>
      <c r="E40" s="87"/>
      <c r="I40" s="72" t="s">
        <v>309</v>
      </c>
      <c r="J40" s="84"/>
      <c r="K40" s="85"/>
      <c r="L40" s="86"/>
      <c r="M40" s="87"/>
      <c r="Q40" s="88" t="s">
        <v>259</v>
      </c>
      <c r="R40" s="73" t="s">
        <v>145</v>
      </c>
      <c r="S40" s="268" t="s">
        <v>731</v>
      </c>
      <c r="T40" s="75" t="s">
        <v>78</v>
      </c>
      <c r="U40" s="76">
        <v>135</v>
      </c>
    </row>
    <row r="41" spans="1:21" ht="60.75">
      <c r="A41" s="72" t="s">
        <v>375</v>
      </c>
      <c r="B41" s="84"/>
      <c r="C41" s="85"/>
      <c r="D41" s="86"/>
      <c r="E41" s="87"/>
      <c r="I41" s="72" t="s">
        <v>375</v>
      </c>
      <c r="J41" s="84"/>
      <c r="K41" s="85"/>
      <c r="L41" s="86"/>
      <c r="M41" s="87"/>
      <c r="Q41" s="88" t="s">
        <v>261</v>
      </c>
      <c r="R41" s="73" t="s">
        <v>145</v>
      </c>
      <c r="S41" s="257" t="s">
        <v>732</v>
      </c>
      <c r="T41" s="78" t="s">
        <v>78</v>
      </c>
      <c r="U41" s="76">
        <v>140</v>
      </c>
    </row>
    <row r="42" spans="1:21">
      <c r="A42" s="72" t="s">
        <v>235</v>
      </c>
      <c r="B42" s="84"/>
      <c r="C42" s="85"/>
      <c r="D42" s="86"/>
      <c r="E42" s="87"/>
      <c r="I42" s="72" t="s">
        <v>235</v>
      </c>
      <c r="J42" s="35"/>
      <c r="K42" s="36"/>
      <c r="L42" s="37"/>
      <c r="M42" s="87"/>
      <c r="Q42" s="79"/>
      <c r="R42" s="80"/>
      <c r="S42" s="81"/>
      <c r="T42" s="82"/>
      <c r="U42" s="83"/>
    </row>
    <row r="43" spans="1:21">
      <c r="A43" s="72" t="s">
        <v>240</v>
      </c>
      <c r="B43" s="84" t="s">
        <v>227</v>
      </c>
      <c r="C43" s="85" t="s">
        <v>725</v>
      </c>
      <c r="D43" s="86" t="s">
        <v>629</v>
      </c>
      <c r="E43" s="87">
        <v>21</v>
      </c>
      <c r="I43" s="72" t="s">
        <v>240</v>
      </c>
      <c r="J43" s="35" t="s">
        <v>100</v>
      </c>
      <c r="K43" s="270" t="s">
        <v>576</v>
      </c>
      <c r="L43" s="37" t="s">
        <v>78</v>
      </c>
      <c r="M43" s="87">
        <v>18</v>
      </c>
      <c r="Q43" s="67" t="s">
        <v>234</v>
      </c>
      <c r="R43" s="80"/>
      <c r="S43" s="81"/>
      <c r="T43" s="82"/>
      <c r="U43" s="83"/>
    </row>
    <row r="44" spans="1:21" ht="60.75">
      <c r="A44" s="72" t="s">
        <v>240</v>
      </c>
      <c r="B44" s="84"/>
      <c r="C44" s="85"/>
      <c r="D44" s="86"/>
      <c r="E44" s="87"/>
      <c r="I44" s="72" t="s">
        <v>240</v>
      </c>
      <c r="J44" s="84"/>
      <c r="K44" s="85"/>
      <c r="L44" s="86"/>
      <c r="M44" s="87"/>
      <c r="Q44" s="88" t="s">
        <v>261</v>
      </c>
      <c r="R44" s="84" t="s">
        <v>145</v>
      </c>
      <c r="S44" s="237" t="s">
        <v>732</v>
      </c>
      <c r="T44" s="89" t="s">
        <v>78</v>
      </c>
      <c r="U44" s="87">
        <v>140</v>
      </c>
    </row>
    <row r="45" spans="1:21">
      <c r="A45" s="72" t="s">
        <v>240</v>
      </c>
      <c r="B45" s="84"/>
      <c r="C45" s="85"/>
      <c r="D45" s="86"/>
      <c r="E45" s="87"/>
      <c r="I45" s="72" t="s">
        <v>240</v>
      </c>
      <c r="J45" s="84"/>
      <c r="K45" s="85"/>
      <c r="L45" s="86"/>
      <c r="M45" s="87"/>
      <c r="Q45" s="42"/>
      <c r="R45" s="80"/>
      <c r="S45" s="81"/>
      <c r="T45" s="82"/>
      <c r="U45" s="83"/>
    </row>
    <row r="46" spans="1:21">
      <c r="A46" s="72" t="s">
        <v>240</v>
      </c>
      <c r="B46" s="84"/>
      <c r="C46" s="85"/>
      <c r="D46" s="86"/>
      <c r="E46" s="87"/>
      <c r="I46" s="72" t="s">
        <v>240</v>
      </c>
      <c r="J46" s="84"/>
      <c r="K46" s="85"/>
      <c r="L46" s="86"/>
      <c r="M46" s="87"/>
      <c r="Q46" s="42"/>
      <c r="R46" s="80"/>
      <c r="S46" s="81"/>
      <c r="T46" s="82"/>
      <c r="U46" s="83"/>
    </row>
    <row r="47" spans="1:21">
      <c r="A47" s="72" t="s">
        <v>240</v>
      </c>
      <c r="B47" s="84"/>
      <c r="C47" s="85"/>
      <c r="D47" s="86"/>
      <c r="E47" s="87"/>
      <c r="I47" s="72" t="s">
        <v>240</v>
      </c>
      <c r="J47" s="84"/>
      <c r="K47" s="85"/>
      <c r="L47" s="86"/>
      <c r="M47" s="87"/>
      <c r="Q47" s="67" t="s">
        <v>242</v>
      </c>
      <c r="R47" s="84"/>
      <c r="S47" s="85"/>
      <c r="T47" s="86"/>
      <c r="U47" s="87">
        <v>415</v>
      </c>
    </row>
    <row r="48" spans="1:21">
      <c r="A48" s="42"/>
      <c r="B48" s="80"/>
      <c r="C48" s="81"/>
      <c r="D48" s="82"/>
      <c r="E48" s="83"/>
      <c r="I48" s="42"/>
      <c r="J48" s="80"/>
      <c r="K48" s="81"/>
      <c r="L48" s="82"/>
      <c r="M48" s="83"/>
      <c r="Q48" s="67" t="s">
        <v>243</v>
      </c>
      <c r="R48" s="84"/>
      <c r="S48" s="85"/>
      <c r="T48" s="86"/>
      <c r="U48" s="87">
        <v>3</v>
      </c>
    </row>
    <row r="49" spans="1:20">
      <c r="A49" s="42"/>
      <c r="B49" s="80"/>
      <c r="C49" s="81"/>
      <c r="D49" s="82"/>
      <c r="E49" s="83"/>
      <c r="I49" s="42"/>
      <c r="J49" s="80"/>
      <c r="K49" s="81"/>
      <c r="L49" s="82"/>
      <c r="M49" s="83"/>
    </row>
    <row r="50" spans="1:20">
      <c r="A50" s="67" t="s">
        <v>242</v>
      </c>
      <c r="B50" s="84"/>
      <c r="C50" s="85"/>
      <c r="D50" s="86"/>
      <c r="E50" s="87">
        <v>212</v>
      </c>
      <c r="I50" s="67" t="s">
        <v>242</v>
      </c>
      <c r="J50" s="84"/>
      <c r="K50" s="85"/>
      <c r="L50" s="86"/>
      <c r="M50" s="87">
        <v>219</v>
      </c>
    </row>
    <row r="51" spans="1:20">
      <c r="A51" s="67" t="s">
        <v>243</v>
      </c>
      <c r="B51" s="84"/>
      <c r="C51" s="85"/>
      <c r="D51" s="86"/>
      <c r="E51" s="87">
        <v>4</v>
      </c>
      <c r="I51" s="67" t="s">
        <v>243</v>
      </c>
      <c r="J51" s="84"/>
      <c r="K51" s="85"/>
      <c r="L51" s="86"/>
      <c r="M51" s="87">
        <v>4</v>
      </c>
    </row>
    <row r="53" spans="1:20" ht="45.75">
      <c r="A53" s="42"/>
      <c r="B53" s="43" t="s">
        <v>215</v>
      </c>
      <c r="C53" s="65" t="s">
        <v>216</v>
      </c>
      <c r="D53" s="66" t="s">
        <v>217</v>
      </c>
      <c r="E53" s="45" t="s">
        <v>218</v>
      </c>
      <c r="I53" s="42"/>
      <c r="J53" s="43" t="s">
        <v>215</v>
      </c>
      <c r="K53" s="65" t="s">
        <v>216</v>
      </c>
      <c r="L53" s="66" t="s">
        <v>217</v>
      </c>
      <c r="M53" s="45" t="s">
        <v>218</v>
      </c>
      <c r="Q53" s="90"/>
      <c r="R53" s="91"/>
      <c r="S53" s="92" t="s">
        <v>274</v>
      </c>
      <c r="T53" s="103"/>
    </row>
    <row r="54" spans="1:20">
      <c r="A54" s="67" t="s">
        <v>219</v>
      </c>
      <c r="B54" s="68"/>
      <c r="C54" s="69"/>
      <c r="D54" s="70"/>
      <c r="E54" s="71"/>
      <c r="I54" s="67" t="s">
        <v>219</v>
      </c>
      <c r="J54" s="68"/>
      <c r="K54" s="69"/>
      <c r="L54" s="70"/>
      <c r="M54" s="71"/>
      <c r="Q54" s="20" t="s">
        <v>275</v>
      </c>
      <c r="R54" s="73" t="s">
        <v>44</v>
      </c>
      <c r="S54" s="81"/>
      <c r="T54" s="103"/>
    </row>
    <row r="55" spans="1:20" ht="76.5">
      <c r="A55" s="88" t="s">
        <v>259</v>
      </c>
      <c r="B55" s="73" t="s">
        <v>227</v>
      </c>
      <c r="C55" s="74" t="s">
        <v>733</v>
      </c>
      <c r="D55" s="75" t="s">
        <v>142</v>
      </c>
      <c r="E55" s="76">
        <v>215</v>
      </c>
      <c r="I55" s="72" t="s">
        <v>220</v>
      </c>
      <c r="J55" s="26" t="s">
        <v>100</v>
      </c>
      <c r="K55" s="271" t="s">
        <v>716</v>
      </c>
      <c r="L55" s="28" t="s">
        <v>78</v>
      </c>
      <c r="M55" s="76">
        <v>21</v>
      </c>
      <c r="Q55" s="20" t="s">
        <v>277</v>
      </c>
      <c r="R55" s="26" t="s">
        <v>713</v>
      </c>
      <c r="S55" s="81"/>
      <c r="T55" s="103"/>
    </row>
    <row r="56" spans="1:20" ht="60.75">
      <c r="A56" s="88" t="s">
        <v>261</v>
      </c>
      <c r="B56" s="73" t="s">
        <v>227</v>
      </c>
      <c r="C56" s="77" t="s">
        <v>733</v>
      </c>
      <c r="D56" s="78" t="s">
        <v>142</v>
      </c>
      <c r="E56" s="76">
        <v>205</v>
      </c>
      <c r="I56" s="72" t="s">
        <v>250</v>
      </c>
      <c r="J56" s="26" t="s">
        <v>145</v>
      </c>
      <c r="K56" s="277" t="s">
        <v>734</v>
      </c>
      <c r="L56" s="229" t="s">
        <v>78</v>
      </c>
      <c r="M56" s="76">
        <v>50</v>
      </c>
      <c r="Q56" s="67" t="s">
        <v>278</v>
      </c>
      <c r="R56" s="73">
        <v>3</v>
      </c>
      <c r="S56" s="81"/>
      <c r="T56" s="103"/>
    </row>
    <row r="57" spans="1:20">
      <c r="A57" s="79"/>
      <c r="B57" s="80"/>
      <c r="C57" s="81"/>
      <c r="D57" s="82"/>
      <c r="E57" s="83"/>
      <c r="I57" s="79"/>
      <c r="J57" s="80"/>
      <c r="K57" s="81"/>
      <c r="L57" s="82"/>
      <c r="M57" s="83"/>
      <c r="Q57" s="20" t="s">
        <v>282</v>
      </c>
      <c r="R57" s="73" t="s">
        <v>735</v>
      </c>
      <c r="S57" s="81"/>
      <c r="T57" s="103"/>
    </row>
    <row r="58" spans="1:20">
      <c r="A58" s="67" t="s">
        <v>234</v>
      </c>
      <c r="B58" s="80"/>
      <c r="C58" s="81"/>
      <c r="D58" s="82"/>
      <c r="E58" s="83"/>
      <c r="I58" s="67" t="s">
        <v>234</v>
      </c>
      <c r="J58" s="80"/>
      <c r="K58" s="81"/>
      <c r="L58" s="82"/>
      <c r="M58" s="83"/>
      <c r="Q58" s="93"/>
      <c r="R58" s="80"/>
      <c r="S58" s="81"/>
      <c r="T58" s="103"/>
    </row>
    <row r="59" spans="1:20" ht="60.75">
      <c r="A59" s="88" t="s">
        <v>261</v>
      </c>
      <c r="B59" s="84"/>
      <c r="C59" s="85"/>
      <c r="D59" s="86"/>
      <c r="E59" s="87"/>
      <c r="I59" s="72" t="s">
        <v>250</v>
      </c>
      <c r="J59" s="35" t="s">
        <v>100</v>
      </c>
      <c r="K59" s="278" t="s">
        <v>736</v>
      </c>
      <c r="L59" s="230" t="s">
        <v>78</v>
      </c>
      <c r="M59" s="87">
        <v>66</v>
      </c>
      <c r="Q59" s="94" t="s">
        <v>284</v>
      </c>
      <c r="R59" s="94"/>
      <c r="S59" s="94"/>
      <c r="T59" s="103"/>
    </row>
    <row r="60" spans="1:20" ht="60.75">
      <c r="A60" s="88" t="s">
        <v>261</v>
      </c>
      <c r="B60" s="84"/>
      <c r="C60" s="85"/>
      <c r="D60" s="86"/>
      <c r="E60" s="87"/>
      <c r="I60" s="72" t="s">
        <v>250</v>
      </c>
      <c r="J60" s="35"/>
      <c r="K60" s="85"/>
      <c r="L60" s="86"/>
      <c r="M60" s="87"/>
      <c r="Q60" s="94"/>
      <c r="R60" s="94" t="s">
        <v>285</v>
      </c>
      <c r="S60" s="94" t="s">
        <v>15</v>
      </c>
      <c r="T60" s="94" t="s">
        <v>5</v>
      </c>
    </row>
    <row r="61" spans="1:20" ht="60.75">
      <c r="A61" s="88" t="s">
        <v>261</v>
      </c>
      <c r="B61" s="84"/>
      <c r="C61" s="85"/>
      <c r="D61" s="86"/>
      <c r="E61" s="87"/>
      <c r="I61" s="72" t="s">
        <v>250</v>
      </c>
      <c r="J61" s="84"/>
      <c r="K61" s="85"/>
      <c r="L61" s="86"/>
      <c r="M61" s="87"/>
      <c r="Q61" s="96" t="s">
        <v>286</v>
      </c>
      <c r="R61" s="96">
        <v>335</v>
      </c>
      <c r="S61" s="96">
        <v>5</v>
      </c>
      <c r="T61" s="96"/>
    </row>
    <row r="62" spans="1:20">
      <c r="A62" s="42"/>
      <c r="B62" s="80"/>
      <c r="C62" s="81"/>
      <c r="D62" s="82"/>
      <c r="E62" s="83"/>
      <c r="I62" s="72" t="s">
        <v>271</v>
      </c>
      <c r="J62" s="35" t="s">
        <v>145</v>
      </c>
      <c r="K62" s="270" t="s">
        <v>737</v>
      </c>
      <c r="L62" s="37" t="s">
        <v>78</v>
      </c>
      <c r="M62" s="87">
        <v>10</v>
      </c>
      <c r="Q62" s="96" t="s">
        <v>287</v>
      </c>
      <c r="R62" s="96">
        <v>209</v>
      </c>
      <c r="S62" s="96">
        <v>3</v>
      </c>
      <c r="T62" s="96"/>
    </row>
    <row r="63" spans="1:20">
      <c r="A63" s="42"/>
      <c r="B63" s="80"/>
      <c r="C63" s="81"/>
      <c r="D63" s="82"/>
      <c r="E63" s="83"/>
      <c r="I63" s="72" t="s">
        <v>271</v>
      </c>
      <c r="J63" s="35" t="s">
        <v>100</v>
      </c>
      <c r="K63" s="270" t="s">
        <v>737</v>
      </c>
      <c r="L63" s="37" t="s">
        <v>78</v>
      </c>
      <c r="M63" s="87">
        <v>8</v>
      </c>
      <c r="Q63" s="96" t="s">
        <v>289</v>
      </c>
      <c r="R63" s="96">
        <v>138</v>
      </c>
      <c r="S63" s="96">
        <v>3</v>
      </c>
      <c r="T63" s="96"/>
    </row>
    <row r="64" spans="1:20">
      <c r="A64" s="67" t="s">
        <v>242</v>
      </c>
      <c r="B64" s="84"/>
      <c r="C64" s="85"/>
      <c r="D64" s="86"/>
      <c r="E64" s="87">
        <v>420</v>
      </c>
      <c r="I64" s="72" t="s">
        <v>271</v>
      </c>
      <c r="J64" s="84"/>
      <c r="K64" s="85"/>
      <c r="L64" s="86"/>
      <c r="M64" s="87"/>
      <c r="Q64" s="95" t="s">
        <v>290</v>
      </c>
      <c r="R64" s="96">
        <v>415</v>
      </c>
      <c r="S64" s="96">
        <v>3</v>
      </c>
      <c r="T64" s="96"/>
    </row>
    <row r="65" spans="1:20">
      <c r="A65" s="67" t="s">
        <v>243</v>
      </c>
      <c r="B65" s="84"/>
      <c r="C65" s="85"/>
      <c r="D65" s="86"/>
      <c r="E65" s="87">
        <v>2</v>
      </c>
      <c r="I65" s="72" t="s">
        <v>271</v>
      </c>
      <c r="J65" s="84"/>
      <c r="K65" s="85"/>
      <c r="L65" s="86"/>
      <c r="M65" s="87"/>
      <c r="Q65" s="96"/>
      <c r="R65" s="94">
        <v>1097</v>
      </c>
      <c r="S65" s="94">
        <v>14</v>
      </c>
      <c r="T65" s="96"/>
    </row>
    <row r="66" spans="1:20">
      <c r="I66" s="42"/>
      <c r="J66" s="80"/>
      <c r="K66" s="81"/>
      <c r="L66" s="82"/>
      <c r="M66" s="83"/>
      <c r="Q66" s="103"/>
      <c r="R66" s="103"/>
      <c r="S66" s="103"/>
      <c r="T66" s="103"/>
    </row>
    <row r="67" spans="1:20" ht="45.75">
      <c r="A67" s="42"/>
      <c r="B67" s="43" t="s">
        <v>215</v>
      </c>
      <c r="C67" s="65" t="s">
        <v>216</v>
      </c>
      <c r="D67" s="66" t="s">
        <v>217</v>
      </c>
      <c r="E67" s="45" t="s">
        <v>218</v>
      </c>
      <c r="I67" s="42"/>
      <c r="J67" s="80"/>
      <c r="K67" s="81"/>
      <c r="L67" s="82"/>
      <c r="M67" s="83"/>
    </row>
    <row r="68" spans="1:20">
      <c r="A68" s="67" t="s">
        <v>219</v>
      </c>
      <c r="B68" s="68"/>
      <c r="C68" s="69"/>
      <c r="D68" s="70"/>
      <c r="E68" s="71"/>
      <c r="I68" s="67" t="s">
        <v>242</v>
      </c>
      <c r="J68" s="84"/>
      <c r="K68" s="85"/>
      <c r="L68" s="86"/>
      <c r="M68" s="87">
        <v>155</v>
      </c>
    </row>
    <row r="69" spans="1:20">
      <c r="A69" s="72" t="s">
        <v>220</v>
      </c>
      <c r="B69" s="73" t="s">
        <v>714</v>
      </c>
      <c r="C69" s="74" t="s">
        <v>715</v>
      </c>
      <c r="D69" s="75" t="s">
        <v>629</v>
      </c>
      <c r="E69" s="76">
        <v>21</v>
      </c>
      <c r="I69" s="67" t="s">
        <v>243</v>
      </c>
      <c r="J69" s="84"/>
      <c r="K69" s="85"/>
      <c r="L69" s="86"/>
      <c r="M69" s="87">
        <v>5</v>
      </c>
    </row>
    <row r="70" spans="1:20">
      <c r="A70" s="72" t="s">
        <v>250</v>
      </c>
      <c r="B70" s="73" t="s">
        <v>227</v>
      </c>
      <c r="C70" s="73" t="s">
        <v>738</v>
      </c>
      <c r="D70" s="78" t="s">
        <v>629</v>
      </c>
      <c r="E70" s="76">
        <v>45</v>
      </c>
    </row>
    <row r="71" spans="1:20" ht="45.75">
      <c r="A71" s="79"/>
      <c r="B71" s="80"/>
      <c r="C71" s="81"/>
      <c r="D71" s="82"/>
      <c r="E71" s="83"/>
      <c r="I71" s="42"/>
      <c r="J71" s="43" t="s">
        <v>215</v>
      </c>
      <c r="K71" s="65" t="s">
        <v>216</v>
      </c>
      <c r="L71" s="66" t="s">
        <v>217</v>
      </c>
      <c r="M71" s="45" t="s">
        <v>218</v>
      </c>
    </row>
    <row r="72" spans="1:20">
      <c r="A72" s="67" t="s">
        <v>234</v>
      </c>
      <c r="B72" s="80"/>
      <c r="C72" s="81"/>
      <c r="D72" s="82"/>
      <c r="E72" s="83"/>
      <c r="I72" s="67" t="s">
        <v>219</v>
      </c>
      <c r="J72" s="68"/>
      <c r="K72" s="69"/>
      <c r="L72" s="70"/>
      <c r="M72" s="71"/>
    </row>
    <row r="73" spans="1:20" ht="76.5">
      <c r="A73" s="72" t="s">
        <v>250</v>
      </c>
      <c r="B73" s="84" t="s">
        <v>221</v>
      </c>
      <c r="C73" s="84" t="s">
        <v>251</v>
      </c>
      <c r="D73" s="89" t="s">
        <v>629</v>
      </c>
      <c r="E73" s="87">
        <v>46</v>
      </c>
      <c r="I73" s="88" t="s">
        <v>259</v>
      </c>
      <c r="J73" s="73" t="s">
        <v>145</v>
      </c>
      <c r="K73" s="268" t="s">
        <v>739</v>
      </c>
      <c r="L73" s="28" t="s">
        <v>78</v>
      </c>
      <c r="M73" s="76">
        <v>135</v>
      </c>
    </row>
    <row r="74" spans="1:20" ht="60.75">
      <c r="A74" s="72" t="s">
        <v>250</v>
      </c>
      <c r="B74" s="84" t="s">
        <v>227</v>
      </c>
      <c r="C74" s="85" t="s">
        <v>740</v>
      </c>
      <c r="D74" s="86" t="s">
        <v>629</v>
      </c>
      <c r="E74" s="87">
        <v>50</v>
      </c>
      <c r="I74" s="88" t="s">
        <v>261</v>
      </c>
      <c r="J74" s="73" t="s">
        <v>145</v>
      </c>
      <c r="K74" s="268" t="s">
        <v>741</v>
      </c>
      <c r="L74" s="229" t="s">
        <v>78</v>
      </c>
      <c r="M74" s="76">
        <v>105</v>
      </c>
    </row>
    <row r="75" spans="1:20">
      <c r="A75" s="72" t="s">
        <v>250</v>
      </c>
      <c r="B75" s="84" t="s">
        <v>227</v>
      </c>
      <c r="C75" s="85" t="s">
        <v>740</v>
      </c>
      <c r="D75" s="86" t="s">
        <v>629</v>
      </c>
      <c r="E75" s="87">
        <v>50</v>
      </c>
      <c r="I75" s="79"/>
      <c r="J75" s="80"/>
      <c r="K75" s="81"/>
      <c r="L75" s="82"/>
      <c r="M75" s="83"/>
    </row>
    <row r="76" spans="1:20">
      <c r="A76" s="72" t="s">
        <v>271</v>
      </c>
      <c r="B76" s="84"/>
      <c r="C76" s="85"/>
      <c r="D76" s="86"/>
      <c r="E76" s="87"/>
      <c r="I76" s="67" t="s">
        <v>234</v>
      </c>
      <c r="J76" s="80"/>
      <c r="K76" s="81"/>
      <c r="L76" s="82"/>
      <c r="M76" s="83"/>
    </row>
    <row r="77" spans="1:20" ht="60.75">
      <c r="A77" s="72" t="s">
        <v>271</v>
      </c>
      <c r="B77" s="84"/>
      <c r="C77" s="85"/>
      <c r="D77" s="86"/>
      <c r="E77" s="87"/>
      <c r="I77" s="88" t="s">
        <v>261</v>
      </c>
      <c r="J77" s="84" t="s">
        <v>145</v>
      </c>
      <c r="K77" s="279" t="s">
        <v>742</v>
      </c>
      <c r="L77" s="37" t="s">
        <v>78</v>
      </c>
      <c r="M77" s="87">
        <v>130</v>
      </c>
    </row>
    <row r="78" spans="1:20" ht="60.75">
      <c r="A78" s="72" t="s">
        <v>271</v>
      </c>
      <c r="B78" s="84"/>
      <c r="C78" s="85"/>
      <c r="D78" s="86"/>
      <c r="E78" s="87"/>
      <c r="I78" s="88" t="s">
        <v>261</v>
      </c>
      <c r="J78" s="84" t="s">
        <v>145</v>
      </c>
      <c r="K78" s="279" t="s">
        <v>743</v>
      </c>
      <c r="L78" s="37" t="s">
        <v>78</v>
      </c>
      <c r="M78" s="87">
        <v>135</v>
      </c>
    </row>
    <row r="79" spans="1:20" ht="60.75">
      <c r="A79" s="72" t="s">
        <v>271</v>
      </c>
      <c r="B79" s="84"/>
      <c r="C79" s="85"/>
      <c r="D79" s="86"/>
      <c r="E79" s="87"/>
      <c r="I79" s="88" t="s">
        <v>261</v>
      </c>
      <c r="J79" s="84"/>
      <c r="K79" s="85"/>
      <c r="L79" s="86"/>
      <c r="M79" s="87"/>
    </row>
    <row r="80" spans="1:20">
      <c r="A80" s="42"/>
      <c r="B80" s="80"/>
      <c r="C80" s="81"/>
      <c r="D80" s="82"/>
      <c r="E80" s="83"/>
      <c r="I80" s="42"/>
      <c r="J80" s="80"/>
      <c r="K80" s="81"/>
      <c r="L80" s="82"/>
      <c r="M80" s="83"/>
    </row>
    <row r="81" spans="1:13">
      <c r="A81" s="42"/>
      <c r="B81" s="80"/>
      <c r="C81" s="81"/>
      <c r="D81" s="82"/>
      <c r="E81" s="83"/>
      <c r="I81" s="42"/>
      <c r="J81" s="80"/>
      <c r="K81" s="81"/>
      <c r="L81" s="82"/>
      <c r="M81" s="83"/>
    </row>
    <row r="82" spans="1:13">
      <c r="A82" s="67" t="s">
        <v>242</v>
      </c>
      <c r="B82" s="84"/>
      <c r="C82" s="85"/>
      <c r="D82" s="86"/>
      <c r="E82" s="87">
        <v>212</v>
      </c>
      <c r="I82" s="67" t="s">
        <v>242</v>
      </c>
      <c r="J82" s="84"/>
      <c r="K82" s="85"/>
      <c r="L82" s="86"/>
      <c r="M82" s="87">
        <v>505</v>
      </c>
    </row>
    <row r="83" spans="1:13">
      <c r="A83" s="67" t="s">
        <v>243</v>
      </c>
      <c r="B83" s="84"/>
      <c r="C83" s="85"/>
      <c r="D83" s="86"/>
      <c r="E83" s="87">
        <v>5</v>
      </c>
      <c r="I83" s="67" t="s">
        <v>243</v>
      </c>
      <c r="J83" s="84"/>
      <c r="K83" s="85"/>
      <c r="L83" s="86"/>
      <c r="M83" s="87">
        <v>4</v>
      </c>
    </row>
    <row r="85" spans="1:13">
      <c r="A85" s="90"/>
      <c r="B85" s="91"/>
      <c r="C85" s="92" t="s">
        <v>274</v>
      </c>
      <c r="D85" s="103"/>
      <c r="I85" s="90"/>
      <c r="J85" s="91"/>
      <c r="K85" s="92" t="s">
        <v>274</v>
      </c>
      <c r="L85" s="103"/>
    </row>
    <row r="86" spans="1:13">
      <c r="A86" s="67" t="s">
        <v>275</v>
      </c>
      <c r="B86" s="73" t="s">
        <v>44</v>
      </c>
      <c r="C86" s="81"/>
      <c r="D86" s="103"/>
      <c r="I86" s="67" t="s">
        <v>275</v>
      </c>
      <c r="J86" s="26" t="s">
        <v>44</v>
      </c>
      <c r="K86" s="81"/>
      <c r="L86" s="103"/>
    </row>
    <row r="87" spans="1:13">
      <c r="A87" s="67" t="s">
        <v>277</v>
      </c>
      <c r="B87" s="73" t="s">
        <v>711</v>
      </c>
      <c r="C87" s="81"/>
      <c r="D87" s="103"/>
      <c r="I87" s="67" t="s">
        <v>277</v>
      </c>
      <c r="J87" s="26" t="s">
        <v>744</v>
      </c>
      <c r="K87" s="81"/>
      <c r="L87" s="103"/>
    </row>
    <row r="88" spans="1:13">
      <c r="A88" s="67" t="s">
        <v>278</v>
      </c>
      <c r="B88" s="73" t="s">
        <v>745</v>
      </c>
      <c r="C88" s="81"/>
      <c r="D88" s="103"/>
      <c r="I88" s="67" t="s">
        <v>278</v>
      </c>
      <c r="J88" s="73">
        <v>2</v>
      </c>
      <c r="K88" s="81"/>
      <c r="L88" s="103"/>
    </row>
    <row r="89" spans="1:13">
      <c r="A89" s="67" t="s">
        <v>282</v>
      </c>
      <c r="B89" s="73" t="s">
        <v>31</v>
      </c>
      <c r="C89" s="81"/>
      <c r="D89" s="103"/>
      <c r="I89" s="67" t="s">
        <v>282</v>
      </c>
      <c r="J89" s="26" t="s">
        <v>746</v>
      </c>
      <c r="K89" s="81"/>
      <c r="L89" s="103"/>
    </row>
    <row r="90" spans="1:13">
      <c r="A90" s="93"/>
      <c r="B90" s="80"/>
      <c r="C90" s="81"/>
      <c r="D90" s="103"/>
      <c r="I90" s="93"/>
      <c r="J90" s="80"/>
      <c r="K90" s="81"/>
      <c r="L90" s="103"/>
    </row>
    <row r="91" spans="1:13">
      <c r="A91" s="94" t="s">
        <v>284</v>
      </c>
      <c r="B91" s="94"/>
      <c r="C91" s="94"/>
      <c r="D91" s="103"/>
      <c r="I91" s="94" t="s">
        <v>284</v>
      </c>
      <c r="J91" s="94"/>
      <c r="K91" s="94"/>
      <c r="L91" s="103"/>
    </row>
    <row r="92" spans="1:13">
      <c r="A92" s="94"/>
      <c r="B92" s="94" t="s">
        <v>285</v>
      </c>
      <c r="C92" s="94" t="s">
        <v>15</v>
      </c>
      <c r="D92" s="94" t="s">
        <v>5</v>
      </c>
      <c r="I92" s="94"/>
      <c r="J92" s="94" t="s">
        <v>285</v>
      </c>
      <c r="K92" s="94" t="s">
        <v>15</v>
      </c>
      <c r="L92" s="94" t="s">
        <v>5</v>
      </c>
    </row>
    <row r="93" spans="1:13">
      <c r="A93" s="95" t="s">
        <v>393</v>
      </c>
      <c r="B93" s="95">
        <v>0</v>
      </c>
      <c r="C93" s="95">
        <v>0</v>
      </c>
      <c r="D93" s="96"/>
      <c r="I93" s="96" t="s">
        <v>286</v>
      </c>
      <c r="J93" s="96">
        <v>221</v>
      </c>
      <c r="K93" s="96">
        <v>4</v>
      </c>
      <c r="L93" s="96"/>
    </row>
    <row r="94" spans="1:13">
      <c r="A94" s="96" t="s">
        <v>286</v>
      </c>
      <c r="B94" s="96">
        <v>255</v>
      </c>
      <c r="C94" s="96">
        <v>5</v>
      </c>
      <c r="D94" s="96" t="s">
        <v>747</v>
      </c>
      <c r="I94" s="96" t="s">
        <v>287</v>
      </c>
      <c r="J94" s="96">
        <v>219</v>
      </c>
      <c r="K94" s="96">
        <v>4</v>
      </c>
      <c r="L94" s="96"/>
    </row>
    <row r="95" spans="1:13">
      <c r="A95" s="96" t="s">
        <v>287</v>
      </c>
      <c r="B95" s="96">
        <v>212</v>
      </c>
      <c r="C95" s="96">
        <v>4</v>
      </c>
      <c r="D95" s="96" t="s">
        <v>748</v>
      </c>
      <c r="I95" s="95" t="s">
        <v>288</v>
      </c>
      <c r="J95" s="96">
        <v>155</v>
      </c>
      <c r="K95" s="96">
        <v>5</v>
      </c>
      <c r="L95" s="96"/>
    </row>
    <row r="96" spans="1:13">
      <c r="A96" s="96" t="s">
        <v>289</v>
      </c>
      <c r="B96" s="96">
        <v>0</v>
      </c>
      <c r="C96" s="96">
        <v>0</v>
      </c>
      <c r="D96" s="96"/>
      <c r="I96" s="95" t="s">
        <v>290</v>
      </c>
      <c r="J96" s="96">
        <v>505</v>
      </c>
      <c r="K96" s="96">
        <v>4</v>
      </c>
      <c r="L96" s="96"/>
    </row>
    <row r="97" spans="1:12">
      <c r="A97" s="96" t="s">
        <v>396</v>
      </c>
      <c r="B97" s="96">
        <v>0</v>
      </c>
      <c r="C97" s="96">
        <v>0</v>
      </c>
      <c r="D97" s="96"/>
      <c r="I97" s="96"/>
      <c r="J97" s="94">
        <v>1100</v>
      </c>
      <c r="K97" s="94">
        <v>17</v>
      </c>
      <c r="L97" s="96"/>
    </row>
    <row r="98" spans="1:12">
      <c r="A98" s="95" t="s">
        <v>397</v>
      </c>
      <c r="B98" s="96">
        <v>0</v>
      </c>
      <c r="C98" s="96">
        <v>0</v>
      </c>
      <c r="D98" s="96"/>
    </row>
    <row r="99" spans="1:12">
      <c r="A99" s="95" t="s">
        <v>291</v>
      </c>
      <c r="B99" s="96">
        <v>0</v>
      </c>
      <c r="C99" s="96">
        <v>0</v>
      </c>
      <c r="D99" s="96"/>
    </row>
    <row r="100" spans="1:12">
      <c r="A100" s="95" t="s">
        <v>288</v>
      </c>
      <c r="B100" s="96">
        <v>212</v>
      </c>
      <c r="C100" s="96">
        <v>5</v>
      </c>
      <c r="D100" s="96" t="s">
        <v>749</v>
      </c>
    </row>
    <row r="101" spans="1:12">
      <c r="A101" s="95" t="s">
        <v>398</v>
      </c>
      <c r="B101" s="96">
        <v>0</v>
      </c>
      <c r="C101" s="96">
        <v>0</v>
      </c>
      <c r="D101" s="96"/>
    </row>
    <row r="102" spans="1:12">
      <c r="A102" s="95" t="s">
        <v>290</v>
      </c>
      <c r="B102" s="96">
        <v>420</v>
      </c>
      <c r="C102" s="96">
        <v>2</v>
      </c>
      <c r="D102" s="96" t="s">
        <v>750</v>
      </c>
    </row>
    <row r="103" spans="1:12">
      <c r="A103" s="95" t="s">
        <v>399</v>
      </c>
      <c r="B103" s="96">
        <v>0</v>
      </c>
      <c r="C103" s="96">
        <v>0</v>
      </c>
      <c r="D103" s="96"/>
    </row>
    <row r="104" spans="1:12">
      <c r="A104" s="95" t="s">
        <v>400</v>
      </c>
      <c r="B104" s="96">
        <v>0</v>
      </c>
      <c r="C104" s="96">
        <v>0</v>
      </c>
      <c r="D104" s="96"/>
    </row>
    <row r="105" spans="1:12">
      <c r="A105" s="95" t="s">
        <v>400</v>
      </c>
      <c r="B105" s="96">
        <v>0</v>
      </c>
      <c r="C105" s="96">
        <v>0</v>
      </c>
      <c r="D105" s="96"/>
    </row>
    <row r="106" spans="1:12">
      <c r="A106" s="96"/>
      <c r="B106" s="94">
        <v>1099</v>
      </c>
      <c r="C106" s="94">
        <v>16</v>
      </c>
      <c r="D106" s="9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A9D8-53D3-4B1D-9657-EC841D4DBB00}">
  <dimension ref="A1:U114"/>
  <sheetViews>
    <sheetView topLeftCell="I67" workbookViewId="0">
      <selection activeCell="AA93" sqref="AA93"/>
    </sheetView>
  </sheetViews>
  <sheetFormatPr defaultRowHeight="15"/>
  <cols>
    <col min="1" max="1" width="37.7109375" bestFit="1" customWidth="1"/>
    <col min="2" max="2" width="9.42578125" customWidth="1"/>
    <col min="3" max="3" width="31.7109375" bestFit="1" customWidth="1"/>
    <col min="5" max="5" width="10.85546875" bestFit="1" customWidth="1"/>
    <col min="9" max="9" width="37.7109375" bestFit="1" customWidth="1"/>
    <col min="11" max="11" width="31.7109375" bestFit="1" customWidth="1"/>
    <col min="17" max="17" width="26.5703125" bestFit="1" customWidth="1"/>
    <col min="18" max="18" width="19.140625" bestFit="1" customWidth="1"/>
    <col min="19" max="19" width="31.7109375" bestFit="1" customWidth="1"/>
  </cols>
  <sheetData>
    <row r="1" spans="1:21">
      <c r="B1" s="14"/>
      <c r="K1" s="14" t="s">
        <v>751</v>
      </c>
    </row>
    <row r="2" spans="1:21">
      <c r="A2" t="s">
        <v>30</v>
      </c>
      <c r="B2" t="s">
        <v>49</v>
      </c>
      <c r="I2" t="s">
        <v>32</v>
      </c>
      <c r="J2" t="s">
        <v>49</v>
      </c>
      <c r="K2" t="s">
        <v>752</v>
      </c>
    </row>
    <row r="3" spans="1:21" ht="45.75">
      <c r="A3" s="85"/>
      <c r="B3" s="43" t="s">
        <v>215</v>
      </c>
      <c r="C3" s="65" t="s">
        <v>216</v>
      </c>
      <c r="D3" s="233" t="s">
        <v>217</v>
      </c>
      <c r="E3" s="65" t="s">
        <v>218</v>
      </c>
      <c r="I3" s="81"/>
      <c r="J3" s="63" t="s">
        <v>215</v>
      </c>
      <c r="K3" s="65" t="s">
        <v>216</v>
      </c>
      <c r="L3" s="233" t="s">
        <v>217</v>
      </c>
      <c r="M3" s="65" t="s">
        <v>218</v>
      </c>
      <c r="Q3" s="344" t="s">
        <v>753</v>
      </c>
      <c r="R3" s="345" t="s">
        <v>215</v>
      </c>
      <c r="S3" s="345" t="s">
        <v>216</v>
      </c>
      <c r="T3" s="346" t="s">
        <v>217</v>
      </c>
      <c r="U3" s="347" t="s">
        <v>218</v>
      </c>
    </row>
    <row r="4" spans="1:21">
      <c r="A4" s="65" t="s">
        <v>296</v>
      </c>
      <c r="B4" s="125"/>
      <c r="C4" s="234"/>
      <c r="D4" s="235"/>
      <c r="E4" s="234"/>
      <c r="I4" s="65" t="s">
        <v>296</v>
      </c>
      <c r="J4" s="68"/>
      <c r="K4" s="69"/>
      <c r="L4" s="70"/>
      <c r="M4" s="69"/>
      <c r="Q4" s="348" t="s">
        <v>219</v>
      </c>
      <c r="R4" s="349" t="s">
        <v>753</v>
      </c>
      <c r="S4" s="349" t="s">
        <v>753</v>
      </c>
      <c r="T4" s="350" t="s">
        <v>753</v>
      </c>
      <c r="U4" s="351" t="s">
        <v>753</v>
      </c>
    </row>
    <row r="5" spans="1:21">
      <c r="A5" s="234" t="s">
        <v>220</v>
      </c>
      <c r="B5" s="111" t="s">
        <v>373</v>
      </c>
      <c r="C5" s="234" t="s">
        <v>297</v>
      </c>
      <c r="D5" s="115" t="s">
        <v>629</v>
      </c>
      <c r="E5" s="114">
        <v>21</v>
      </c>
      <c r="I5" s="234" t="s">
        <v>220</v>
      </c>
      <c r="J5" s="111" t="s">
        <v>100</v>
      </c>
      <c r="K5" s="254" t="s">
        <v>754</v>
      </c>
      <c r="L5" s="115" t="s">
        <v>142</v>
      </c>
      <c r="M5" s="114">
        <v>28</v>
      </c>
      <c r="Q5" s="352" t="s">
        <v>220</v>
      </c>
      <c r="R5" s="353" t="s">
        <v>100</v>
      </c>
      <c r="S5" s="353" t="s">
        <v>378</v>
      </c>
      <c r="T5" s="354" t="s">
        <v>753</v>
      </c>
      <c r="U5" s="355">
        <v>21</v>
      </c>
    </row>
    <row r="6" spans="1:21" ht="30.75">
      <c r="A6" s="234" t="s">
        <v>226</v>
      </c>
      <c r="B6" s="111" t="s">
        <v>354</v>
      </c>
      <c r="C6" s="255" t="s">
        <v>755</v>
      </c>
      <c r="D6" s="117" t="s">
        <v>629</v>
      </c>
      <c r="E6" s="114">
        <v>114</v>
      </c>
      <c r="I6" s="234" t="s">
        <v>226</v>
      </c>
      <c r="J6" s="111" t="s">
        <v>124</v>
      </c>
      <c r="K6" s="255" t="s">
        <v>756</v>
      </c>
      <c r="L6" s="117" t="s">
        <v>142</v>
      </c>
      <c r="M6" s="114">
        <v>82</v>
      </c>
      <c r="Q6" s="352" t="s">
        <v>226</v>
      </c>
      <c r="R6" s="353" t="s">
        <v>124</v>
      </c>
      <c r="S6" s="356" t="s">
        <v>757</v>
      </c>
      <c r="T6" s="357" t="s">
        <v>753</v>
      </c>
      <c r="U6" s="355">
        <v>104</v>
      </c>
    </row>
    <row r="7" spans="1:21">
      <c r="A7" s="234" t="s">
        <v>232</v>
      </c>
      <c r="B7" s="111" t="s">
        <v>354</v>
      </c>
      <c r="C7" s="261" t="s">
        <v>758</v>
      </c>
      <c r="D7" s="117" t="s">
        <v>629</v>
      </c>
      <c r="E7" s="114">
        <v>115</v>
      </c>
      <c r="I7" s="234" t="s">
        <v>232</v>
      </c>
      <c r="J7" s="111" t="s">
        <v>124</v>
      </c>
      <c r="K7" s="255" t="s">
        <v>756</v>
      </c>
      <c r="L7" s="117" t="s">
        <v>142</v>
      </c>
      <c r="M7" s="114">
        <v>82</v>
      </c>
      <c r="Q7" s="352" t="s">
        <v>232</v>
      </c>
      <c r="R7" s="353" t="s">
        <v>124</v>
      </c>
      <c r="S7" s="356" t="s">
        <v>759</v>
      </c>
      <c r="T7" s="357" t="s">
        <v>753</v>
      </c>
      <c r="U7" s="355">
        <v>96</v>
      </c>
    </row>
    <row r="8" spans="1:21">
      <c r="A8" s="234"/>
      <c r="B8" s="84"/>
      <c r="C8" s="85"/>
      <c r="D8" s="86"/>
      <c r="E8" s="85"/>
      <c r="I8" s="69"/>
      <c r="J8" s="80"/>
      <c r="K8" s="81"/>
      <c r="L8" s="82"/>
      <c r="M8" s="81"/>
      <c r="Q8" s="352" t="s">
        <v>753</v>
      </c>
      <c r="R8" s="358" t="s">
        <v>753</v>
      </c>
      <c r="S8" s="358" t="s">
        <v>753</v>
      </c>
      <c r="T8" s="359" t="s">
        <v>753</v>
      </c>
      <c r="U8" s="360" t="s">
        <v>753</v>
      </c>
    </row>
    <row r="9" spans="1:21">
      <c r="A9" s="65" t="s">
        <v>234</v>
      </c>
      <c r="B9" s="84"/>
      <c r="C9" s="85"/>
      <c r="D9" s="86"/>
      <c r="E9" s="85"/>
      <c r="I9" s="65" t="s">
        <v>234</v>
      </c>
      <c r="J9" s="80"/>
      <c r="K9" s="81"/>
      <c r="L9" s="82"/>
      <c r="M9" s="81"/>
      <c r="Q9" s="348" t="s">
        <v>234</v>
      </c>
      <c r="R9" s="358" t="s">
        <v>753</v>
      </c>
      <c r="S9" s="358" t="s">
        <v>753</v>
      </c>
      <c r="T9" s="359" t="s">
        <v>753</v>
      </c>
      <c r="U9" s="360" t="s">
        <v>753</v>
      </c>
    </row>
    <row r="10" spans="1:21">
      <c r="A10" s="234" t="s">
        <v>303</v>
      </c>
      <c r="B10" s="84"/>
      <c r="C10" s="85"/>
      <c r="D10" s="86"/>
      <c r="E10" s="85"/>
      <c r="I10" s="234" t="s">
        <v>303</v>
      </c>
      <c r="J10" s="84"/>
      <c r="K10" s="85"/>
      <c r="L10" s="86"/>
      <c r="M10" s="85"/>
      <c r="Q10" s="352" t="s">
        <v>303</v>
      </c>
      <c r="R10" s="358" t="s">
        <v>753</v>
      </c>
      <c r="S10" s="358" t="s">
        <v>753</v>
      </c>
      <c r="T10" s="359" t="s">
        <v>753</v>
      </c>
      <c r="U10" s="360" t="s">
        <v>753</v>
      </c>
    </row>
    <row r="11" spans="1:21">
      <c r="A11" s="234" t="s">
        <v>303</v>
      </c>
      <c r="B11" s="84"/>
      <c r="C11" s="85"/>
      <c r="D11" s="86"/>
      <c r="E11" s="85"/>
      <c r="I11" s="234" t="s">
        <v>303</v>
      </c>
      <c r="J11" s="84"/>
      <c r="K11" s="85"/>
      <c r="L11" s="86"/>
      <c r="M11" s="85"/>
      <c r="Q11" s="352" t="s">
        <v>303</v>
      </c>
      <c r="R11" s="358" t="s">
        <v>753</v>
      </c>
      <c r="S11" s="358" t="s">
        <v>753</v>
      </c>
      <c r="T11" s="359" t="s">
        <v>753</v>
      </c>
      <c r="U11" s="360" t="s">
        <v>753</v>
      </c>
    </row>
    <row r="12" spans="1:21">
      <c r="A12" s="234" t="s">
        <v>305</v>
      </c>
      <c r="B12" s="84"/>
      <c r="C12" s="85"/>
      <c r="D12" s="86"/>
      <c r="E12" s="85"/>
      <c r="I12" s="234" t="s">
        <v>305</v>
      </c>
      <c r="J12" s="84"/>
      <c r="K12" s="85"/>
      <c r="L12" s="86"/>
      <c r="M12" s="85"/>
      <c r="Q12" s="352" t="s">
        <v>305</v>
      </c>
      <c r="R12" s="358" t="s">
        <v>753</v>
      </c>
      <c r="S12" s="358" t="s">
        <v>753</v>
      </c>
      <c r="T12" s="359" t="s">
        <v>753</v>
      </c>
      <c r="U12" s="360" t="s">
        <v>753</v>
      </c>
    </row>
    <row r="13" spans="1:21">
      <c r="A13" s="234" t="s">
        <v>306</v>
      </c>
      <c r="B13" s="84"/>
      <c r="C13" s="85"/>
      <c r="D13" s="86"/>
      <c r="E13" s="85"/>
      <c r="I13" s="234" t="s">
        <v>306</v>
      </c>
      <c r="J13" s="84"/>
      <c r="K13" s="85"/>
      <c r="L13" s="86"/>
      <c r="M13" s="85"/>
      <c r="Q13" s="352" t="s">
        <v>306</v>
      </c>
      <c r="R13" s="358" t="s">
        <v>753</v>
      </c>
      <c r="S13" s="358" t="s">
        <v>753</v>
      </c>
      <c r="T13" s="359" t="s">
        <v>753</v>
      </c>
      <c r="U13" s="360" t="s">
        <v>753</v>
      </c>
    </row>
    <row r="14" spans="1:21">
      <c r="A14" s="234" t="s">
        <v>309</v>
      </c>
      <c r="B14" s="84" t="s">
        <v>392</v>
      </c>
      <c r="C14" s="234" t="s">
        <v>760</v>
      </c>
      <c r="D14" s="86" t="s">
        <v>629</v>
      </c>
      <c r="E14" s="85">
        <v>21</v>
      </c>
      <c r="I14" s="234" t="s">
        <v>309</v>
      </c>
      <c r="J14" s="84"/>
      <c r="K14" s="85"/>
      <c r="L14" s="86"/>
      <c r="M14" s="85"/>
      <c r="Q14" s="352" t="s">
        <v>309</v>
      </c>
      <c r="R14" s="358" t="s">
        <v>145</v>
      </c>
      <c r="S14" s="358" t="s">
        <v>13</v>
      </c>
      <c r="T14" s="359" t="s">
        <v>753</v>
      </c>
      <c r="U14" s="360">
        <v>30</v>
      </c>
    </row>
    <row r="15" spans="1:21">
      <c r="A15" s="234" t="s">
        <v>309</v>
      </c>
      <c r="B15" s="84"/>
      <c r="C15" s="234"/>
      <c r="D15" s="86"/>
      <c r="E15" s="85"/>
      <c r="I15" s="234" t="s">
        <v>309</v>
      </c>
      <c r="J15" s="84"/>
      <c r="K15" s="85"/>
      <c r="L15" s="86"/>
      <c r="M15" s="85"/>
      <c r="Q15" s="352" t="s">
        <v>309</v>
      </c>
      <c r="R15" s="358" t="s">
        <v>753</v>
      </c>
      <c r="S15" s="358" t="s">
        <v>753</v>
      </c>
      <c r="T15" s="359" t="s">
        <v>753</v>
      </c>
      <c r="U15" s="360" t="s">
        <v>753</v>
      </c>
    </row>
    <row r="16" spans="1:21">
      <c r="A16" s="234" t="s">
        <v>310</v>
      </c>
      <c r="B16" s="84"/>
      <c r="C16" s="85"/>
      <c r="D16" s="86"/>
      <c r="E16" s="85"/>
      <c r="I16" s="234" t="s">
        <v>375</v>
      </c>
      <c r="J16" s="84"/>
      <c r="K16" s="85"/>
      <c r="L16" s="86"/>
      <c r="M16" s="85"/>
      <c r="Q16" s="352" t="s">
        <v>310</v>
      </c>
      <c r="R16" s="358" t="s">
        <v>753</v>
      </c>
      <c r="S16" s="358" t="s">
        <v>753</v>
      </c>
      <c r="T16" s="359" t="s">
        <v>753</v>
      </c>
      <c r="U16" s="360" t="s">
        <v>753</v>
      </c>
    </row>
    <row r="17" spans="1:21">
      <c r="A17" s="234" t="s">
        <v>235</v>
      </c>
      <c r="B17" s="84" t="s">
        <v>373</v>
      </c>
      <c r="C17" s="234" t="s">
        <v>761</v>
      </c>
      <c r="D17" s="86" t="s">
        <v>629</v>
      </c>
      <c r="E17" s="85">
        <v>36</v>
      </c>
      <c r="I17" s="234" t="s">
        <v>235</v>
      </c>
      <c r="J17" s="84"/>
      <c r="K17" s="85"/>
      <c r="L17" s="86"/>
      <c r="M17" s="85"/>
      <c r="Q17" s="352" t="s">
        <v>235</v>
      </c>
      <c r="R17" s="358" t="s">
        <v>753</v>
      </c>
      <c r="S17" s="358" t="s">
        <v>753</v>
      </c>
      <c r="T17" s="359" t="s">
        <v>753</v>
      </c>
      <c r="U17" s="360" t="s">
        <v>753</v>
      </c>
    </row>
    <row r="18" spans="1:21">
      <c r="A18" s="234" t="s">
        <v>240</v>
      </c>
      <c r="B18" s="84" t="s">
        <v>373</v>
      </c>
      <c r="C18" s="234" t="s">
        <v>449</v>
      </c>
      <c r="D18" s="86" t="s">
        <v>629</v>
      </c>
      <c r="E18" s="85">
        <v>14</v>
      </c>
      <c r="I18" s="234" t="s">
        <v>240</v>
      </c>
      <c r="J18" s="84"/>
      <c r="K18" s="85"/>
      <c r="L18" s="86"/>
      <c r="M18" s="85"/>
      <c r="Q18" s="352" t="s">
        <v>240</v>
      </c>
      <c r="R18" s="358" t="s">
        <v>145</v>
      </c>
      <c r="S18" s="358" t="s">
        <v>762</v>
      </c>
      <c r="T18" s="359" t="s">
        <v>753</v>
      </c>
      <c r="U18" s="360">
        <v>55</v>
      </c>
    </row>
    <row r="19" spans="1:21">
      <c r="A19" s="234" t="s">
        <v>240</v>
      </c>
      <c r="B19" s="84"/>
      <c r="C19" s="85"/>
      <c r="D19" s="86"/>
      <c r="E19" s="85"/>
      <c r="I19" s="234" t="s">
        <v>240</v>
      </c>
      <c r="J19" s="84"/>
      <c r="K19" s="85"/>
      <c r="L19" s="86"/>
      <c r="M19" s="85"/>
      <c r="Q19" s="352" t="s">
        <v>240</v>
      </c>
      <c r="R19" s="358" t="s">
        <v>753</v>
      </c>
      <c r="S19" s="358" t="s">
        <v>753</v>
      </c>
      <c r="T19" s="359" t="s">
        <v>753</v>
      </c>
      <c r="U19" s="360" t="s">
        <v>753</v>
      </c>
    </row>
    <row r="20" spans="1:21">
      <c r="A20" s="234" t="s">
        <v>240</v>
      </c>
      <c r="B20" s="84"/>
      <c r="C20" s="85"/>
      <c r="D20" s="86"/>
      <c r="E20" s="85"/>
      <c r="I20" s="234" t="s">
        <v>240</v>
      </c>
      <c r="J20" s="84"/>
      <c r="K20" s="85"/>
      <c r="L20" s="86"/>
      <c r="M20" s="85"/>
      <c r="Q20" s="352" t="s">
        <v>240</v>
      </c>
      <c r="R20" s="358" t="s">
        <v>753</v>
      </c>
      <c r="S20" s="358" t="s">
        <v>753</v>
      </c>
      <c r="T20" s="359" t="s">
        <v>753</v>
      </c>
      <c r="U20" s="360" t="s">
        <v>753</v>
      </c>
    </row>
    <row r="21" spans="1:21">
      <c r="A21" s="234" t="s">
        <v>240</v>
      </c>
      <c r="B21" s="84"/>
      <c r="C21" s="85"/>
      <c r="D21" s="86"/>
      <c r="E21" s="85"/>
      <c r="I21" s="234" t="s">
        <v>240</v>
      </c>
      <c r="J21" s="84"/>
      <c r="K21" s="85"/>
      <c r="L21" s="86"/>
      <c r="M21" s="85"/>
      <c r="Q21" s="352" t="s">
        <v>240</v>
      </c>
      <c r="R21" s="358" t="s">
        <v>753</v>
      </c>
      <c r="S21" s="358" t="s">
        <v>753</v>
      </c>
      <c r="T21" s="359" t="s">
        <v>753</v>
      </c>
      <c r="U21" s="360" t="s">
        <v>753</v>
      </c>
    </row>
    <row r="22" spans="1:21">
      <c r="A22" s="234" t="s">
        <v>240</v>
      </c>
      <c r="B22" s="84"/>
      <c r="C22" s="85"/>
      <c r="D22" s="86"/>
      <c r="E22" s="85"/>
      <c r="I22" s="234" t="s">
        <v>240</v>
      </c>
      <c r="J22" s="84"/>
      <c r="K22" s="85"/>
      <c r="L22" s="86"/>
      <c r="M22" s="85"/>
      <c r="Q22" s="352" t="s">
        <v>240</v>
      </c>
      <c r="R22" s="358" t="s">
        <v>753</v>
      </c>
      <c r="S22" s="358" t="s">
        <v>753</v>
      </c>
      <c r="T22" s="359" t="s">
        <v>753</v>
      </c>
      <c r="U22" s="360" t="s">
        <v>753</v>
      </c>
    </row>
    <row r="23" spans="1:21">
      <c r="A23" s="85"/>
      <c r="B23" s="84"/>
      <c r="C23" s="85"/>
      <c r="D23" s="86"/>
      <c r="E23" s="85"/>
      <c r="I23" s="81"/>
      <c r="J23" s="80"/>
      <c r="K23" s="81"/>
      <c r="L23" s="82"/>
      <c r="M23" s="81"/>
      <c r="Q23" s="361" t="s">
        <v>753</v>
      </c>
      <c r="R23" s="358" t="s">
        <v>753</v>
      </c>
      <c r="S23" s="358" t="s">
        <v>753</v>
      </c>
      <c r="T23" s="359" t="s">
        <v>753</v>
      </c>
      <c r="U23" s="360" t="s">
        <v>753</v>
      </c>
    </row>
    <row r="24" spans="1:21">
      <c r="A24" s="85"/>
      <c r="B24" s="84"/>
      <c r="C24" s="85"/>
      <c r="D24" s="86"/>
      <c r="E24" s="85"/>
      <c r="I24" s="81"/>
      <c r="J24" s="80"/>
      <c r="K24" s="81"/>
      <c r="L24" s="82"/>
      <c r="M24" s="81"/>
      <c r="Q24" s="361" t="s">
        <v>753</v>
      </c>
      <c r="R24" s="358" t="s">
        <v>753</v>
      </c>
      <c r="S24" s="358" t="s">
        <v>753</v>
      </c>
      <c r="T24" s="359" t="s">
        <v>753</v>
      </c>
      <c r="U24" s="360" t="s">
        <v>753</v>
      </c>
    </row>
    <row r="25" spans="1:21">
      <c r="A25" s="65" t="s">
        <v>242</v>
      </c>
      <c r="B25" s="84"/>
      <c r="C25" s="85"/>
      <c r="D25" s="86"/>
      <c r="E25" s="85">
        <f>SUM(E4:E24)</f>
        <v>321</v>
      </c>
      <c r="I25" s="65" t="s">
        <v>242</v>
      </c>
      <c r="J25" s="84"/>
      <c r="K25" s="85"/>
      <c r="L25" s="86"/>
      <c r="M25" s="85">
        <f>SUM(M5:M22)</f>
        <v>192</v>
      </c>
      <c r="Q25" s="348" t="s">
        <v>242</v>
      </c>
      <c r="R25" s="358" t="s">
        <v>753</v>
      </c>
      <c r="S25" s="358" t="s">
        <v>753</v>
      </c>
      <c r="T25" s="359" t="s">
        <v>753</v>
      </c>
      <c r="U25" s="360">
        <v>306</v>
      </c>
    </row>
    <row r="26" spans="1:21">
      <c r="A26" s="65" t="s">
        <v>318</v>
      </c>
      <c r="B26" s="84"/>
      <c r="C26" s="85"/>
      <c r="D26" s="86"/>
      <c r="E26" s="85">
        <v>6</v>
      </c>
      <c r="I26" s="65" t="s">
        <v>318</v>
      </c>
      <c r="J26" s="84"/>
      <c r="K26" s="85"/>
      <c r="L26" s="86"/>
      <c r="M26" s="85">
        <v>3</v>
      </c>
      <c r="Q26" s="348" t="s">
        <v>243</v>
      </c>
      <c r="R26" s="358" t="s">
        <v>753</v>
      </c>
      <c r="S26" s="358" t="s">
        <v>753</v>
      </c>
      <c r="T26" s="359" t="s">
        <v>753</v>
      </c>
      <c r="U26" s="360">
        <v>5</v>
      </c>
    </row>
    <row r="28" spans="1:21" ht="45.75">
      <c r="A28" s="85"/>
      <c r="B28" s="63" t="s">
        <v>215</v>
      </c>
      <c r="C28" s="65" t="s">
        <v>216</v>
      </c>
      <c r="D28" s="233" t="s">
        <v>217</v>
      </c>
      <c r="E28" s="65" t="s">
        <v>218</v>
      </c>
      <c r="I28" s="81"/>
      <c r="J28" s="63" t="s">
        <v>215</v>
      </c>
      <c r="K28" s="65" t="s">
        <v>216</v>
      </c>
      <c r="L28" s="233" t="s">
        <v>217</v>
      </c>
      <c r="M28" s="65" t="s">
        <v>218</v>
      </c>
      <c r="Q28" s="344" t="s">
        <v>753</v>
      </c>
      <c r="R28" s="362" t="s">
        <v>215</v>
      </c>
      <c r="S28" s="345" t="s">
        <v>216</v>
      </c>
      <c r="T28" s="346" t="s">
        <v>217</v>
      </c>
      <c r="U28" s="347" t="s">
        <v>218</v>
      </c>
    </row>
    <row r="29" spans="1:21">
      <c r="A29" s="65" t="s">
        <v>296</v>
      </c>
      <c r="B29" s="125"/>
      <c r="C29" s="234"/>
      <c r="D29" s="235"/>
      <c r="E29" s="234"/>
      <c r="I29" s="65" t="s">
        <v>296</v>
      </c>
      <c r="J29" s="68"/>
      <c r="K29" s="69"/>
      <c r="L29" s="70"/>
      <c r="M29" s="69"/>
      <c r="Q29" s="348" t="s">
        <v>219</v>
      </c>
      <c r="R29" s="349" t="s">
        <v>753</v>
      </c>
      <c r="S29" s="349" t="s">
        <v>753</v>
      </c>
      <c r="T29" s="350" t="s">
        <v>753</v>
      </c>
      <c r="U29" s="351" t="s">
        <v>753</v>
      </c>
    </row>
    <row r="30" spans="1:21">
      <c r="A30" s="234" t="s">
        <v>220</v>
      </c>
      <c r="B30" s="111" t="s">
        <v>373</v>
      </c>
      <c r="C30" s="234" t="s">
        <v>297</v>
      </c>
      <c r="D30" s="115" t="s">
        <v>629</v>
      </c>
      <c r="E30" s="114">
        <v>21</v>
      </c>
      <c r="I30" s="234" t="s">
        <v>220</v>
      </c>
      <c r="J30" s="111" t="s">
        <v>100</v>
      </c>
      <c r="K30" s="254" t="s">
        <v>763</v>
      </c>
      <c r="L30" s="115" t="s">
        <v>142</v>
      </c>
      <c r="M30" s="114">
        <v>28</v>
      </c>
      <c r="Q30" s="352" t="s">
        <v>220</v>
      </c>
      <c r="R30" s="353" t="s">
        <v>100</v>
      </c>
      <c r="S30" s="353" t="s">
        <v>378</v>
      </c>
      <c r="T30" s="354" t="s">
        <v>753</v>
      </c>
      <c r="U30" s="355">
        <v>21</v>
      </c>
    </row>
    <row r="31" spans="1:21">
      <c r="A31" s="234" t="s">
        <v>226</v>
      </c>
      <c r="B31" s="111" t="s">
        <v>352</v>
      </c>
      <c r="C31" s="236" t="s">
        <v>764</v>
      </c>
      <c r="D31" s="117" t="s">
        <v>629</v>
      </c>
      <c r="E31" s="114">
        <v>70</v>
      </c>
      <c r="I31" s="234" t="s">
        <v>226</v>
      </c>
      <c r="J31" s="111" t="s">
        <v>124</v>
      </c>
      <c r="K31" s="255" t="s">
        <v>756</v>
      </c>
      <c r="L31" s="117" t="s">
        <v>142</v>
      </c>
      <c r="M31" s="114">
        <v>82</v>
      </c>
      <c r="Q31" s="352" t="s">
        <v>226</v>
      </c>
      <c r="R31" s="353" t="s">
        <v>100</v>
      </c>
      <c r="S31" s="356" t="s">
        <v>765</v>
      </c>
      <c r="T31" s="357" t="s">
        <v>753</v>
      </c>
      <c r="U31" s="355">
        <v>81</v>
      </c>
    </row>
    <row r="32" spans="1:21">
      <c r="A32" s="234" t="s">
        <v>232</v>
      </c>
      <c r="B32" s="111" t="s">
        <v>352</v>
      </c>
      <c r="C32" s="236" t="s">
        <v>766</v>
      </c>
      <c r="D32" s="117" t="s">
        <v>629</v>
      </c>
      <c r="E32" s="114">
        <v>60</v>
      </c>
      <c r="I32" s="234" t="s">
        <v>232</v>
      </c>
      <c r="J32" s="111" t="s">
        <v>124</v>
      </c>
      <c r="K32" s="255" t="s">
        <v>756</v>
      </c>
      <c r="L32" s="117" t="s">
        <v>142</v>
      </c>
      <c r="M32" s="114">
        <v>82</v>
      </c>
      <c r="Q32" s="352" t="s">
        <v>232</v>
      </c>
      <c r="R32" s="353" t="s">
        <v>124</v>
      </c>
      <c r="S32" s="356" t="s">
        <v>767</v>
      </c>
      <c r="T32" s="357" t="s">
        <v>753</v>
      </c>
      <c r="U32" s="355">
        <v>99</v>
      </c>
    </row>
    <row r="33" spans="1:21">
      <c r="A33" s="234"/>
      <c r="B33" s="84"/>
      <c r="C33" s="85"/>
      <c r="D33" s="86"/>
      <c r="E33" s="85"/>
      <c r="I33" s="69"/>
      <c r="J33" s="80"/>
      <c r="K33" s="81"/>
      <c r="L33" s="82"/>
      <c r="M33" s="81"/>
      <c r="Q33" s="352" t="s">
        <v>753</v>
      </c>
      <c r="R33" s="358" t="s">
        <v>753</v>
      </c>
      <c r="S33" s="358" t="s">
        <v>753</v>
      </c>
      <c r="T33" s="359" t="s">
        <v>753</v>
      </c>
      <c r="U33" s="360" t="s">
        <v>753</v>
      </c>
    </row>
    <row r="34" spans="1:21">
      <c r="A34" s="65" t="s">
        <v>234</v>
      </c>
      <c r="B34" s="84"/>
      <c r="C34" s="85"/>
      <c r="D34" s="86"/>
      <c r="E34" s="85"/>
      <c r="I34" s="65" t="s">
        <v>234</v>
      </c>
      <c r="J34" s="80"/>
      <c r="K34" s="81"/>
      <c r="L34" s="82"/>
      <c r="M34" s="81"/>
      <c r="Q34" s="348" t="s">
        <v>234</v>
      </c>
      <c r="R34" s="358" t="s">
        <v>753</v>
      </c>
      <c r="S34" s="358" t="s">
        <v>753</v>
      </c>
      <c r="T34" s="359" t="s">
        <v>753</v>
      </c>
      <c r="U34" s="360" t="s">
        <v>753</v>
      </c>
    </row>
    <row r="35" spans="1:21">
      <c r="A35" s="234" t="s">
        <v>303</v>
      </c>
      <c r="B35" s="84" t="s">
        <v>392</v>
      </c>
      <c r="C35" s="234" t="s">
        <v>766</v>
      </c>
      <c r="D35" s="86" t="s">
        <v>629</v>
      </c>
      <c r="E35" s="85">
        <v>42</v>
      </c>
      <c r="I35" s="234" t="s">
        <v>303</v>
      </c>
      <c r="J35" s="84"/>
      <c r="K35" s="85"/>
      <c r="L35" s="86"/>
      <c r="M35" s="85"/>
      <c r="Q35" s="352" t="s">
        <v>303</v>
      </c>
      <c r="R35" s="358" t="s">
        <v>753</v>
      </c>
      <c r="S35" s="358" t="s">
        <v>753</v>
      </c>
      <c r="T35" s="359" t="s">
        <v>753</v>
      </c>
      <c r="U35" s="360" t="s">
        <v>753</v>
      </c>
    </row>
    <row r="36" spans="1:21">
      <c r="A36" s="234" t="s">
        <v>303</v>
      </c>
      <c r="B36" s="84"/>
      <c r="C36" s="85"/>
      <c r="D36" s="86"/>
      <c r="E36" s="85"/>
      <c r="I36" s="234" t="s">
        <v>303</v>
      </c>
      <c r="J36" s="84"/>
      <c r="K36" s="85"/>
      <c r="L36" s="86"/>
      <c r="M36" s="85"/>
      <c r="Q36" s="352" t="s">
        <v>303</v>
      </c>
      <c r="R36" s="358" t="s">
        <v>753</v>
      </c>
      <c r="S36" s="358" t="s">
        <v>753</v>
      </c>
      <c r="T36" s="359" t="s">
        <v>753</v>
      </c>
      <c r="U36" s="360" t="s">
        <v>753</v>
      </c>
    </row>
    <row r="37" spans="1:21">
      <c r="A37" s="234" t="s">
        <v>305</v>
      </c>
      <c r="B37" s="84"/>
      <c r="C37" s="85"/>
      <c r="D37" s="86"/>
      <c r="E37" s="85"/>
      <c r="I37" s="234" t="s">
        <v>305</v>
      </c>
      <c r="J37" s="84"/>
      <c r="K37" s="85"/>
      <c r="L37" s="86"/>
      <c r="M37" s="85"/>
      <c r="Q37" s="352" t="s">
        <v>305</v>
      </c>
      <c r="R37" s="358" t="s">
        <v>753</v>
      </c>
      <c r="S37" s="358" t="s">
        <v>753</v>
      </c>
      <c r="T37" s="359" t="s">
        <v>753</v>
      </c>
      <c r="U37" s="360" t="s">
        <v>753</v>
      </c>
    </row>
    <row r="38" spans="1:21">
      <c r="A38" s="234" t="s">
        <v>306</v>
      </c>
      <c r="B38" s="84"/>
      <c r="C38" s="85"/>
      <c r="D38" s="86"/>
      <c r="E38" s="85"/>
      <c r="I38" s="234" t="s">
        <v>306</v>
      </c>
      <c r="J38" s="84"/>
      <c r="K38" s="85"/>
      <c r="L38" s="86"/>
      <c r="M38" s="85"/>
      <c r="Q38" s="352" t="s">
        <v>306</v>
      </c>
      <c r="R38" s="358" t="s">
        <v>753</v>
      </c>
      <c r="S38" s="358" t="s">
        <v>753</v>
      </c>
      <c r="T38" s="359" t="s">
        <v>753</v>
      </c>
      <c r="U38" s="360" t="s">
        <v>753</v>
      </c>
    </row>
    <row r="39" spans="1:21">
      <c r="A39" s="234" t="s">
        <v>309</v>
      </c>
      <c r="B39" s="84"/>
      <c r="C39" s="85"/>
      <c r="D39" s="86"/>
      <c r="E39" s="85"/>
      <c r="I39" s="234" t="s">
        <v>309</v>
      </c>
      <c r="J39" s="84"/>
      <c r="K39" s="85"/>
      <c r="L39" s="86"/>
      <c r="M39" s="85"/>
      <c r="Q39" s="352" t="s">
        <v>309</v>
      </c>
      <c r="R39" s="358" t="s">
        <v>753</v>
      </c>
      <c r="S39" s="358" t="s">
        <v>753</v>
      </c>
      <c r="T39" s="359" t="s">
        <v>753</v>
      </c>
      <c r="U39" s="360" t="s">
        <v>753</v>
      </c>
    </row>
    <row r="40" spans="1:21">
      <c r="A40" s="234" t="s">
        <v>309</v>
      </c>
      <c r="B40" s="84"/>
      <c r="C40" s="85"/>
      <c r="D40" s="86"/>
      <c r="E40" s="85"/>
      <c r="I40" s="234" t="s">
        <v>309</v>
      </c>
      <c r="J40" s="84"/>
      <c r="K40" s="85"/>
      <c r="L40" s="86"/>
      <c r="M40" s="85"/>
      <c r="Q40" s="352" t="s">
        <v>309</v>
      </c>
      <c r="R40" s="358" t="s">
        <v>753</v>
      </c>
      <c r="S40" s="358" t="s">
        <v>753</v>
      </c>
      <c r="T40" s="359" t="s">
        <v>753</v>
      </c>
      <c r="U40" s="360" t="s">
        <v>753</v>
      </c>
    </row>
    <row r="41" spans="1:21">
      <c r="A41" s="234" t="s">
        <v>375</v>
      </c>
      <c r="B41" s="84"/>
      <c r="C41" s="85"/>
      <c r="D41" s="86"/>
      <c r="E41" s="85"/>
      <c r="I41" s="234" t="s">
        <v>375</v>
      </c>
      <c r="J41" s="84"/>
      <c r="K41" s="85"/>
      <c r="L41" s="86"/>
      <c r="M41" s="85"/>
      <c r="Q41" s="352" t="s">
        <v>375</v>
      </c>
      <c r="R41" s="358" t="s">
        <v>753</v>
      </c>
      <c r="S41" s="358" t="s">
        <v>753</v>
      </c>
      <c r="T41" s="359" t="s">
        <v>753</v>
      </c>
      <c r="U41" s="360" t="s">
        <v>753</v>
      </c>
    </row>
    <row r="42" spans="1:21">
      <c r="A42" s="234" t="s">
        <v>235</v>
      </c>
      <c r="B42" s="84" t="s">
        <v>373</v>
      </c>
      <c r="C42" s="234" t="s">
        <v>768</v>
      </c>
      <c r="D42" s="86" t="s">
        <v>629</v>
      </c>
      <c r="E42" s="85">
        <v>33</v>
      </c>
      <c r="I42" s="234" t="s">
        <v>235</v>
      </c>
      <c r="J42" s="84"/>
      <c r="K42" s="85"/>
      <c r="L42" s="86"/>
      <c r="M42" s="85"/>
      <c r="Q42" s="352" t="s">
        <v>235</v>
      </c>
      <c r="R42" s="358" t="s">
        <v>753</v>
      </c>
      <c r="S42" s="358" t="s">
        <v>753</v>
      </c>
      <c r="T42" s="359" t="s">
        <v>753</v>
      </c>
      <c r="U42" s="360" t="s">
        <v>753</v>
      </c>
    </row>
    <row r="43" spans="1:21">
      <c r="A43" s="234" t="s">
        <v>240</v>
      </c>
      <c r="B43" s="84"/>
      <c r="C43" s="85"/>
      <c r="D43" s="86"/>
      <c r="E43" s="85"/>
      <c r="I43" s="234" t="s">
        <v>240</v>
      </c>
      <c r="J43" s="84"/>
      <c r="K43" s="85"/>
      <c r="L43" s="86"/>
      <c r="M43" s="85"/>
      <c r="Q43" s="352" t="s">
        <v>240</v>
      </c>
      <c r="R43" s="358" t="s">
        <v>145</v>
      </c>
      <c r="S43" s="358" t="s">
        <v>769</v>
      </c>
      <c r="T43" s="359" t="s">
        <v>753</v>
      </c>
      <c r="U43" s="360">
        <v>38</v>
      </c>
    </row>
    <row r="44" spans="1:21">
      <c r="A44" s="234" t="s">
        <v>240</v>
      </c>
      <c r="B44" s="84"/>
      <c r="C44" s="85"/>
      <c r="D44" s="86"/>
      <c r="E44" s="85"/>
      <c r="I44" s="234" t="s">
        <v>240</v>
      </c>
      <c r="J44" s="84"/>
      <c r="K44" s="85"/>
      <c r="L44" s="86"/>
      <c r="M44" s="85"/>
      <c r="Q44" s="352" t="s">
        <v>240</v>
      </c>
      <c r="R44" s="358" t="s">
        <v>753</v>
      </c>
      <c r="S44" s="358" t="s">
        <v>753</v>
      </c>
      <c r="T44" s="359" t="s">
        <v>753</v>
      </c>
      <c r="U44" s="360" t="s">
        <v>753</v>
      </c>
    </row>
    <row r="45" spans="1:21">
      <c r="A45" s="234" t="s">
        <v>240</v>
      </c>
      <c r="B45" s="84"/>
      <c r="C45" s="85"/>
      <c r="D45" s="86"/>
      <c r="E45" s="85"/>
      <c r="I45" s="234" t="s">
        <v>240</v>
      </c>
      <c r="J45" s="84"/>
      <c r="K45" s="85"/>
      <c r="L45" s="86"/>
      <c r="M45" s="85"/>
      <c r="Q45" s="352" t="s">
        <v>240</v>
      </c>
      <c r="R45" s="358" t="s">
        <v>753</v>
      </c>
      <c r="S45" s="358" t="s">
        <v>753</v>
      </c>
      <c r="T45" s="359" t="s">
        <v>753</v>
      </c>
      <c r="U45" s="360" t="s">
        <v>753</v>
      </c>
    </row>
    <row r="46" spans="1:21">
      <c r="A46" s="234" t="s">
        <v>240</v>
      </c>
      <c r="B46" s="84"/>
      <c r="C46" s="85"/>
      <c r="D46" s="86"/>
      <c r="E46" s="85"/>
      <c r="I46" s="234" t="s">
        <v>240</v>
      </c>
      <c r="J46" s="84"/>
      <c r="K46" s="85"/>
      <c r="L46" s="86"/>
      <c r="M46" s="85"/>
      <c r="Q46" s="352" t="s">
        <v>240</v>
      </c>
      <c r="R46" s="358" t="s">
        <v>753</v>
      </c>
      <c r="S46" s="358" t="s">
        <v>753</v>
      </c>
      <c r="T46" s="359" t="s">
        <v>753</v>
      </c>
      <c r="U46" s="360" t="s">
        <v>753</v>
      </c>
    </row>
    <row r="47" spans="1:21">
      <c r="A47" s="234" t="s">
        <v>240</v>
      </c>
      <c r="B47" s="84"/>
      <c r="C47" s="85"/>
      <c r="D47" s="86"/>
      <c r="E47" s="85"/>
      <c r="I47" s="234" t="s">
        <v>240</v>
      </c>
      <c r="J47" s="84"/>
      <c r="K47" s="85"/>
      <c r="L47" s="86"/>
      <c r="M47" s="85"/>
      <c r="Q47" s="352" t="s">
        <v>240</v>
      </c>
      <c r="R47" s="358" t="s">
        <v>753</v>
      </c>
      <c r="S47" s="358" t="s">
        <v>753</v>
      </c>
      <c r="T47" s="359" t="s">
        <v>753</v>
      </c>
      <c r="U47" s="360" t="s">
        <v>753</v>
      </c>
    </row>
    <row r="48" spans="1:21">
      <c r="A48" s="85"/>
      <c r="B48" s="84"/>
      <c r="C48" s="85"/>
      <c r="D48" s="86"/>
      <c r="E48" s="85"/>
      <c r="I48" s="81"/>
      <c r="J48" s="80"/>
      <c r="K48" s="81"/>
      <c r="L48" s="82"/>
      <c r="M48" s="81"/>
      <c r="Q48" s="361" t="s">
        <v>753</v>
      </c>
      <c r="R48" s="358" t="s">
        <v>753</v>
      </c>
      <c r="S48" s="358" t="s">
        <v>753</v>
      </c>
      <c r="T48" s="359" t="s">
        <v>753</v>
      </c>
      <c r="U48" s="360" t="s">
        <v>753</v>
      </c>
    </row>
    <row r="49" spans="1:21">
      <c r="A49" s="85"/>
      <c r="B49" s="84"/>
      <c r="C49" s="85"/>
      <c r="D49" s="86"/>
      <c r="E49" s="85"/>
      <c r="I49" s="81"/>
      <c r="J49" s="80"/>
      <c r="K49" s="81"/>
      <c r="L49" s="82"/>
      <c r="M49" s="81"/>
      <c r="Q49" s="361" t="s">
        <v>753</v>
      </c>
      <c r="R49" s="358" t="s">
        <v>753</v>
      </c>
      <c r="S49" s="358" t="s">
        <v>753</v>
      </c>
      <c r="T49" s="359" t="s">
        <v>753</v>
      </c>
      <c r="U49" s="360" t="s">
        <v>753</v>
      </c>
    </row>
    <row r="50" spans="1:21">
      <c r="A50" s="65" t="s">
        <v>242</v>
      </c>
      <c r="B50" s="84"/>
      <c r="C50" s="85"/>
      <c r="D50" s="86"/>
      <c r="E50" s="85">
        <f>SUM(E30:E49)</f>
        <v>226</v>
      </c>
      <c r="I50" s="65" t="s">
        <v>242</v>
      </c>
      <c r="J50" s="84"/>
      <c r="K50" s="85"/>
      <c r="L50" s="86"/>
      <c r="M50" s="85">
        <f>SUM(M30:M49)</f>
        <v>192</v>
      </c>
      <c r="Q50" s="348" t="s">
        <v>242</v>
      </c>
      <c r="R50" s="358" t="s">
        <v>753</v>
      </c>
      <c r="S50" s="358" t="s">
        <v>753</v>
      </c>
      <c r="T50" s="359" t="s">
        <v>753</v>
      </c>
      <c r="U50" s="360">
        <v>239</v>
      </c>
    </row>
    <row r="51" spans="1:21">
      <c r="A51" s="65" t="s">
        <v>318</v>
      </c>
      <c r="B51" s="84"/>
      <c r="C51" s="85"/>
      <c r="D51" s="86"/>
      <c r="E51" s="85">
        <v>5</v>
      </c>
      <c r="I51" s="65" t="s">
        <v>318</v>
      </c>
      <c r="J51" s="84"/>
      <c r="K51" s="85"/>
      <c r="L51" s="86"/>
      <c r="M51" s="85">
        <v>3</v>
      </c>
      <c r="Q51" s="348" t="s">
        <v>243</v>
      </c>
      <c r="R51" s="358" t="s">
        <v>753</v>
      </c>
      <c r="S51" s="358" t="s">
        <v>753</v>
      </c>
      <c r="T51" s="359" t="s">
        <v>753</v>
      </c>
      <c r="U51" s="360">
        <v>4</v>
      </c>
    </row>
    <row r="53" spans="1:21" ht="45.75">
      <c r="A53" s="85"/>
      <c r="B53" s="43" t="s">
        <v>215</v>
      </c>
      <c r="C53" s="65" t="s">
        <v>216</v>
      </c>
      <c r="D53" s="233" t="s">
        <v>217</v>
      </c>
      <c r="E53" s="65" t="s">
        <v>218</v>
      </c>
      <c r="I53" s="81"/>
      <c r="J53" s="43" t="s">
        <v>215</v>
      </c>
      <c r="K53" s="65" t="s">
        <v>216</v>
      </c>
      <c r="L53" s="233" t="s">
        <v>217</v>
      </c>
      <c r="M53" s="65" t="s">
        <v>218</v>
      </c>
      <c r="Q53" s="344" t="s">
        <v>753</v>
      </c>
      <c r="R53" s="345" t="s">
        <v>215</v>
      </c>
      <c r="S53" s="345" t="s">
        <v>216</v>
      </c>
      <c r="T53" s="346" t="s">
        <v>217</v>
      </c>
      <c r="U53" s="347" t="s">
        <v>218</v>
      </c>
    </row>
    <row r="54" spans="1:21">
      <c r="A54" s="65" t="s">
        <v>296</v>
      </c>
      <c r="B54" s="125"/>
      <c r="C54" s="234"/>
      <c r="D54" s="235"/>
      <c r="E54" s="234"/>
      <c r="I54" s="65" t="s">
        <v>296</v>
      </c>
      <c r="J54" s="68"/>
      <c r="K54" s="69"/>
      <c r="L54" s="70"/>
      <c r="M54" s="69"/>
      <c r="Q54" s="348" t="s">
        <v>219</v>
      </c>
      <c r="R54" s="349" t="s">
        <v>753</v>
      </c>
      <c r="S54" s="349" t="s">
        <v>753</v>
      </c>
      <c r="T54" s="350" t="s">
        <v>753</v>
      </c>
      <c r="U54" s="351" t="s">
        <v>753</v>
      </c>
    </row>
    <row r="55" spans="1:21" ht="76.5">
      <c r="A55" s="234" t="s">
        <v>220</v>
      </c>
      <c r="B55" s="111" t="s">
        <v>373</v>
      </c>
      <c r="C55" s="254" t="s">
        <v>457</v>
      </c>
      <c r="D55" s="115" t="s">
        <v>629</v>
      </c>
      <c r="E55" s="114">
        <v>21</v>
      </c>
      <c r="I55" s="234" t="s">
        <v>220</v>
      </c>
      <c r="J55" s="111" t="s">
        <v>100</v>
      </c>
      <c r="K55" s="254" t="s">
        <v>770</v>
      </c>
      <c r="L55" s="115" t="s">
        <v>142</v>
      </c>
      <c r="M55" s="114">
        <v>13</v>
      </c>
      <c r="N55" t="s">
        <v>346</v>
      </c>
      <c r="Q55" s="363" t="s">
        <v>259</v>
      </c>
      <c r="R55" s="353" t="s">
        <v>100</v>
      </c>
      <c r="S55" s="353" t="s">
        <v>771</v>
      </c>
      <c r="T55" s="354" t="s">
        <v>753</v>
      </c>
      <c r="U55" s="355">
        <v>103</v>
      </c>
    </row>
    <row r="56" spans="1:21" ht="60.75">
      <c r="A56" s="234" t="s">
        <v>250</v>
      </c>
      <c r="B56" s="111" t="s">
        <v>352</v>
      </c>
      <c r="C56" s="236" t="s">
        <v>772</v>
      </c>
      <c r="D56" s="117" t="s">
        <v>629</v>
      </c>
      <c r="E56" s="114">
        <v>50</v>
      </c>
      <c r="I56" s="238" t="s">
        <v>266</v>
      </c>
      <c r="J56" s="111" t="s">
        <v>145</v>
      </c>
      <c r="K56" s="255" t="s">
        <v>773</v>
      </c>
      <c r="L56" s="117" t="s">
        <v>142</v>
      </c>
      <c r="M56" s="114">
        <v>85</v>
      </c>
      <c r="Q56" s="363" t="s">
        <v>261</v>
      </c>
      <c r="R56" s="353" t="s">
        <v>124</v>
      </c>
      <c r="S56" s="353" t="s">
        <v>733</v>
      </c>
      <c r="T56" s="357" t="s">
        <v>753</v>
      </c>
      <c r="U56" s="355">
        <v>246</v>
      </c>
    </row>
    <row r="57" spans="1:21">
      <c r="A57" s="234"/>
      <c r="B57" s="84"/>
      <c r="C57" s="85"/>
      <c r="D57" s="86"/>
      <c r="E57" s="85"/>
      <c r="I57" s="238" t="s">
        <v>268</v>
      </c>
      <c r="J57" s="111" t="s">
        <v>145</v>
      </c>
      <c r="K57" s="255" t="s">
        <v>773</v>
      </c>
      <c r="L57" s="117" t="s">
        <v>142</v>
      </c>
      <c r="M57" s="114">
        <v>85</v>
      </c>
      <c r="Q57" s="352" t="s">
        <v>753</v>
      </c>
      <c r="R57" s="358" t="s">
        <v>753</v>
      </c>
      <c r="S57" s="358" t="s">
        <v>753</v>
      </c>
      <c r="T57" s="359" t="s">
        <v>753</v>
      </c>
      <c r="U57" s="360" t="s">
        <v>753</v>
      </c>
    </row>
    <row r="58" spans="1:21">
      <c r="A58" s="65" t="s">
        <v>234</v>
      </c>
      <c r="B58" s="84"/>
      <c r="C58" s="85"/>
      <c r="D58" s="86"/>
      <c r="E58" s="85"/>
      <c r="I58" s="69"/>
      <c r="J58" s="80"/>
      <c r="K58" s="81"/>
      <c r="L58" s="82"/>
      <c r="M58" s="81"/>
      <c r="Q58" s="348" t="s">
        <v>234</v>
      </c>
      <c r="R58" s="358" t="s">
        <v>753</v>
      </c>
      <c r="S58" s="358" t="s">
        <v>753</v>
      </c>
      <c r="T58" s="359" t="s">
        <v>753</v>
      </c>
      <c r="U58" s="360" t="s">
        <v>753</v>
      </c>
    </row>
    <row r="59" spans="1:21" ht="60.75">
      <c r="A59" s="234" t="s">
        <v>250</v>
      </c>
      <c r="B59" s="84" t="s">
        <v>352</v>
      </c>
      <c r="C59" s="125" t="s">
        <v>774</v>
      </c>
      <c r="D59" s="89" t="s">
        <v>629</v>
      </c>
      <c r="E59" s="253">
        <v>95</v>
      </c>
      <c r="I59" s="65" t="s">
        <v>234</v>
      </c>
      <c r="J59" s="80"/>
      <c r="K59" s="81"/>
      <c r="L59" s="82"/>
      <c r="M59" s="81"/>
      <c r="Q59" s="363" t="s">
        <v>261</v>
      </c>
      <c r="R59" s="353" t="s">
        <v>145</v>
      </c>
      <c r="S59" s="353" t="s">
        <v>775</v>
      </c>
      <c r="T59" s="357" t="s">
        <v>753</v>
      </c>
      <c r="U59" s="355">
        <v>115</v>
      </c>
    </row>
    <row r="60" spans="1:21" ht="60.75">
      <c r="A60" s="234" t="s">
        <v>250</v>
      </c>
      <c r="B60" s="84"/>
      <c r="C60" s="85"/>
      <c r="D60" s="86"/>
      <c r="E60" s="85"/>
      <c r="I60" s="238" t="s">
        <v>270</v>
      </c>
      <c r="J60" s="111" t="s">
        <v>145</v>
      </c>
      <c r="K60" s="255" t="s">
        <v>773</v>
      </c>
      <c r="L60" s="117" t="s">
        <v>142</v>
      </c>
      <c r="M60" s="114">
        <v>85</v>
      </c>
      <c r="Q60" s="363" t="s">
        <v>261</v>
      </c>
      <c r="R60" s="353" t="s">
        <v>145</v>
      </c>
      <c r="S60" s="353" t="s">
        <v>490</v>
      </c>
      <c r="T60" s="357" t="s">
        <v>753</v>
      </c>
      <c r="U60" s="355">
        <v>90</v>
      </c>
    </row>
    <row r="61" spans="1:21" ht="60.75">
      <c r="A61" s="234" t="s">
        <v>250</v>
      </c>
      <c r="B61" s="84"/>
      <c r="C61" s="85"/>
      <c r="D61" s="86"/>
      <c r="E61" s="85"/>
      <c r="I61" s="238" t="s">
        <v>270</v>
      </c>
      <c r="J61" s="111" t="s">
        <v>145</v>
      </c>
      <c r="K61" s="255" t="s">
        <v>773</v>
      </c>
      <c r="L61" s="117" t="s">
        <v>142</v>
      </c>
      <c r="M61" s="114">
        <v>85</v>
      </c>
      <c r="Q61" s="363" t="s">
        <v>261</v>
      </c>
      <c r="R61" s="358" t="s">
        <v>753</v>
      </c>
      <c r="S61" s="358" t="s">
        <v>753</v>
      </c>
      <c r="T61" s="359" t="s">
        <v>753</v>
      </c>
      <c r="U61" s="360" t="s">
        <v>753</v>
      </c>
    </row>
    <row r="62" spans="1:21">
      <c r="A62" s="234" t="s">
        <v>271</v>
      </c>
      <c r="B62" s="84"/>
      <c r="C62" s="85"/>
      <c r="D62" s="86"/>
      <c r="E62" s="85"/>
      <c r="I62" s="238" t="s">
        <v>776</v>
      </c>
      <c r="J62" s="84"/>
      <c r="K62" s="85"/>
      <c r="L62" s="86"/>
      <c r="M62" s="85"/>
      <c r="Q62" s="361" t="s">
        <v>753</v>
      </c>
      <c r="R62" s="358" t="s">
        <v>753</v>
      </c>
      <c r="S62" s="358" t="s">
        <v>753</v>
      </c>
      <c r="T62" s="359" t="s">
        <v>753</v>
      </c>
      <c r="U62" s="360" t="s">
        <v>753</v>
      </c>
    </row>
    <row r="63" spans="1:21">
      <c r="A63" s="234" t="s">
        <v>271</v>
      </c>
      <c r="B63" s="84"/>
      <c r="C63" s="85"/>
      <c r="D63" s="86"/>
      <c r="E63" s="85"/>
      <c r="I63" s="238" t="s">
        <v>776</v>
      </c>
      <c r="J63" s="84"/>
      <c r="K63" s="85"/>
      <c r="L63" s="86"/>
      <c r="M63" s="85"/>
      <c r="Q63" s="361" t="s">
        <v>753</v>
      </c>
      <c r="R63" s="358" t="s">
        <v>753</v>
      </c>
      <c r="S63" s="358" t="s">
        <v>753</v>
      </c>
      <c r="T63" s="359" t="s">
        <v>753</v>
      </c>
      <c r="U63" s="360" t="s">
        <v>753</v>
      </c>
    </row>
    <row r="64" spans="1:21">
      <c r="A64" s="234" t="s">
        <v>271</v>
      </c>
      <c r="B64" s="84"/>
      <c r="C64" s="85"/>
      <c r="D64" s="86"/>
      <c r="E64" s="85"/>
      <c r="I64" s="238" t="s">
        <v>776</v>
      </c>
      <c r="J64" s="84"/>
      <c r="K64" s="85"/>
      <c r="L64" s="86"/>
      <c r="M64" s="85"/>
      <c r="Q64" s="348" t="s">
        <v>242</v>
      </c>
      <c r="R64" s="358" t="s">
        <v>753</v>
      </c>
      <c r="S64" s="358" t="s">
        <v>753</v>
      </c>
      <c r="T64" s="359" t="s">
        <v>753</v>
      </c>
      <c r="U64" s="360">
        <v>554</v>
      </c>
    </row>
    <row r="65" spans="1:21">
      <c r="A65" s="234" t="s">
        <v>271</v>
      </c>
      <c r="B65" s="84"/>
      <c r="C65" s="85"/>
      <c r="D65" s="86"/>
      <c r="E65" s="85"/>
      <c r="I65" s="234" t="s">
        <v>271</v>
      </c>
      <c r="J65" s="84" t="s">
        <v>145</v>
      </c>
      <c r="K65" s="234" t="s">
        <v>777</v>
      </c>
      <c r="L65" s="86" t="s">
        <v>142</v>
      </c>
      <c r="M65" s="85">
        <v>49</v>
      </c>
      <c r="Q65" s="348" t="s">
        <v>243</v>
      </c>
      <c r="R65" s="358" t="s">
        <v>753</v>
      </c>
      <c r="S65" s="358" t="s">
        <v>753</v>
      </c>
      <c r="T65" s="359" t="s">
        <v>753</v>
      </c>
      <c r="U65" s="360">
        <v>4</v>
      </c>
    </row>
    <row r="66" spans="1:21">
      <c r="A66" s="85"/>
      <c r="B66" s="84"/>
      <c r="C66" s="85"/>
      <c r="D66" s="86"/>
      <c r="E66" s="85"/>
      <c r="I66" s="234" t="s">
        <v>271</v>
      </c>
      <c r="J66" s="84" t="s">
        <v>145</v>
      </c>
      <c r="K66" s="234" t="s">
        <v>777</v>
      </c>
      <c r="L66" s="86" t="s">
        <v>142</v>
      </c>
      <c r="M66" s="85">
        <v>49</v>
      </c>
    </row>
    <row r="67" spans="1:21">
      <c r="A67" s="85"/>
      <c r="B67" s="84"/>
      <c r="C67" s="85"/>
      <c r="D67" s="86"/>
      <c r="E67" s="85"/>
      <c r="I67" s="234" t="s">
        <v>271</v>
      </c>
      <c r="J67" s="84" t="s">
        <v>145</v>
      </c>
      <c r="K67" s="234" t="s">
        <v>777</v>
      </c>
      <c r="L67" s="86" t="s">
        <v>142</v>
      </c>
      <c r="M67" s="85">
        <v>49</v>
      </c>
    </row>
    <row r="68" spans="1:21">
      <c r="A68" s="65" t="s">
        <v>242</v>
      </c>
      <c r="B68" s="84"/>
      <c r="C68" s="85"/>
      <c r="D68" s="86"/>
      <c r="E68" s="85">
        <f>SUM(E55:E67)</f>
        <v>166</v>
      </c>
      <c r="I68" s="234" t="s">
        <v>271</v>
      </c>
      <c r="J68" s="84" t="s">
        <v>145</v>
      </c>
      <c r="K68" s="234" t="s">
        <v>777</v>
      </c>
      <c r="L68" s="86" t="s">
        <v>142</v>
      </c>
      <c r="M68" s="85">
        <v>49</v>
      </c>
      <c r="Q68" s="90"/>
      <c r="R68" s="91"/>
      <c r="S68" s="92" t="s">
        <v>274</v>
      </c>
      <c r="T68" s="103"/>
    </row>
    <row r="69" spans="1:21">
      <c r="A69" s="65" t="s">
        <v>318</v>
      </c>
      <c r="B69" s="84"/>
      <c r="C69" s="85"/>
      <c r="D69" s="86"/>
      <c r="E69" s="85">
        <v>3</v>
      </c>
      <c r="I69" s="234" t="s">
        <v>271</v>
      </c>
      <c r="J69" s="84"/>
      <c r="K69" s="85"/>
      <c r="L69" s="86"/>
      <c r="M69" s="85"/>
      <c r="Q69" s="67" t="s">
        <v>275</v>
      </c>
      <c r="R69" s="73" t="s">
        <v>49</v>
      </c>
      <c r="S69" s="81"/>
      <c r="T69" s="103"/>
    </row>
    <row r="70" spans="1:21">
      <c r="I70" s="234" t="s">
        <v>271</v>
      </c>
      <c r="J70" s="84"/>
      <c r="K70" s="85"/>
      <c r="L70" s="86"/>
      <c r="M70" s="85"/>
      <c r="Q70" s="67" t="s">
        <v>277</v>
      </c>
      <c r="R70" s="73"/>
      <c r="S70" s="81"/>
      <c r="T70" s="103"/>
    </row>
    <row r="71" spans="1:21" ht="45.75">
      <c r="A71" s="85"/>
      <c r="B71" s="43" t="s">
        <v>215</v>
      </c>
      <c r="C71" s="65" t="s">
        <v>216</v>
      </c>
      <c r="D71" s="233" t="s">
        <v>217</v>
      </c>
      <c r="E71" s="65" t="s">
        <v>218</v>
      </c>
      <c r="I71" s="234" t="s">
        <v>271</v>
      </c>
      <c r="J71" s="84"/>
      <c r="K71" s="85"/>
      <c r="L71" s="86"/>
      <c r="M71" s="85"/>
      <c r="Q71" s="67" t="s">
        <v>278</v>
      </c>
      <c r="R71" s="73"/>
      <c r="S71" s="81"/>
      <c r="T71" s="103"/>
    </row>
    <row r="72" spans="1:21">
      <c r="A72" s="65" t="s">
        <v>296</v>
      </c>
      <c r="B72" s="125"/>
      <c r="C72" s="234"/>
      <c r="D72" s="235"/>
      <c r="E72" s="234"/>
      <c r="I72" s="81"/>
      <c r="J72" s="80"/>
      <c r="K72" s="81"/>
      <c r="L72" s="82"/>
      <c r="M72" s="81"/>
      <c r="Q72" s="67" t="s">
        <v>282</v>
      </c>
      <c r="R72" s="73" t="s">
        <v>31</v>
      </c>
      <c r="S72" s="81"/>
      <c r="T72" s="103"/>
    </row>
    <row r="73" spans="1:21" ht="60.75">
      <c r="A73" s="237" t="s">
        <v>259</v>
      </c>
      <c r="B73" s="108" t="s">
        <v>145</v>
      </c>
      <c r="C73" s="262" t="s">
        <v>778</v>
      </c>
      <c r="D73" s="115"/>
      <c r="E73" s="114">
        <v>145</v>
      </c>
      <c r="F73" t="s">
        <v>779</v>
      </c>
      <c r="I73" s="81"/>
      <c r="J73" s="80"/>
      <c r="K73" s="81"/>
      <c r="L73" s="82"/>
      <c r="M73" s="81"/>
      <c r="Q73" s="93"/>
      <c r="R73" s="80"/>
      <c r="S73" s="81"/>
      <c r="T73" s="103"/>
    </row>
    <row r="74" spans="1:21" ht="45.75">
      <c r="A74" s="237" t="s">
        <v>261</v>
      </c>
      <c r="B74" s="238" t="s">
        <v>145</v>
      </c>
      <c r="C74" s="85" t="s">
        <v>780</v>
      </c>
      <c r="D74" s="117" t="s">
        <v>629</v>
      </c>
      <c r="E74" s="114">
        <v>130</v>
      </c>
      <c r="I74" s="65" t="s">
        <v>242</v>
      </c>
      <c r="J74" s="84"/>
      <c r="K74" s="85"/>
      <c r="L74" s="86"/>
      <c r="M74" s="85">
        <f>SUM(M55:M73)</f>
        <v>549</v>
      </c>
      <c r="Q74" s="94" t="s">
        <v>284</v>
      </c>
      <c r="R74" s="94"/>
      <c r="S74" s="94"/>
      <c r="T74" s="103"/>
    </row>
    <row r="75" spans="1:21">
      <c r="A75" s="234"/>
      <c r="B75" s="84"/>
      <c r="C75" s="85"/>
      <c r="D75" s="86"/>
      <c r="E75" s="85"/>
      <c r="I75" s="65" t="s">
        <v>318</v>
      </c>
      <c r="J75" s="84"/>
      <c r="K75" s="85"/>
      <c r="L75" s="86"/>
      <c r="M75" s="85">
        <v>9</v>
      </c>
      <c r="Q75" s="94"/>
      <c r="R75" s="94" t="s">
        <v>285</v>
      </c>
      <c r="S75" s="94" t="s">
        <v>15</v>
      </c>
      <c r="T75" s="94" t="s">
        <v>5</v>
      </c>
    </row>
    <row r="76" spans="1:21">
      <c r="A76" s="65" t="s">
        <v>234</v>
      </c>
      <c r="B76" s="84"/>
      <c r="C76" s="85"/>
      <c r="D76" s="86"/>
      <c r="E76" s="85"/>
      <c r="Q76" s="95" t="s">
        <v>393</v>
      </c>
      <c r="R76" s="95">
        <v>0</v>
      </c>
      <c r="S76" s="95">
        <v>0</v>
      </c>
      <c r="T76" s="96"/>
    </row>
    <row r="77" spans="1:21" ht="45.75">
      <c r="A77" s="237" t="s">
        <v>261</v>
      </c>
      <c r="B77" s="84" t="s">
        <v>145</v>
      </c>
      <c r="C77" s="234" t="s">
        <v>781</v>
      </c>
      <c r="D77" s="86"/>
      <c r="E77" s="85">
        <v>110</v>
      </c>
      <c r="I77" s="81"/>
      <c r="J77" s="43" t="s">
        <v>215</v>
      </c>
      <c r="K77" s="65" t="s">
        <v>216</v>
      </c>
      <c r="L77" s="233" t="s">
        <v>217</v>
      </c>
      <c r="M77" s="65" t="s">
        <v>218</v>
      </c>
      <c r="Q77" s="96" t="s">
        <v>286</v>
      </c>
      <c r="R77" s="96">
        <f>U25</f>
        <v>306</v>
      </c>
      <c r="S77" s="96">
        <v>5</v>
      </c>
      <c r="T77" s="96"/>
    </row>
    <row r="78" spans="1:21" ht="45.75">
      <c r="A78" s="237" t="s">
        <v>261</v>
      </c>
      <c r="B78" s="84"/>
      <c r="C78" s="85"/>
      <c r="D78" s="86"/>
      <c r="E78" s="85"/>
      <c r="I78" s="65" t="s">
        <v>296</v>
      </c>
      <c r="J78" s="68"/>
      <c r="K78" s="69"/>
      <c r="L78" s="70"/>
      <c r="M78" s="69"/>
      <c r="Q78" s="96" t="s">
        <v>287</v>
      </c>
      <c r="R78" s="96">
        <f>U50</f>
        <v>239</v>
      </c>
      <c r="S78" s="96">
        <v>4</v>
      </c>
      <c r="T78" s="96"/>
    </row>
    <row r="79" spans="1:21" ht="45.75">
      <c r="A79" s="237" t="s">
        <v>261</v>
      </c>
      <c r="B79" s="84"/>
      <c r="C79" s="85"/>
      <c r="D79" s="86"/>
      <c r="E79" s="85"/>
      <c r="I79" s="234" t="s">
        <v>220</v>
      </c>
      <c r="J79" s="111" t="s">
        <v>100</v>
      </c>
      <c r="K79" s="254" t="s">
        <v>770</v>
      </c>
      <c r="L79" s="115" t="s">
        <v>142</v>
      </c>
      <c r="M79" s="114">
        <v>28</v>
      </c>
      <c r="Q79" s="96" t="s">
        <v>289</v>
      </c>
      <c r="R79" s="96">
        <v>0</v>
      </c>
      <c r="S79" s="96">
        <v>0</v>
      </c>
      <c r="T79" s="96"/>
    </row>
    <row r="80" spans="1:21">
      <c r="A80" s="85"/>
      <c r="B80" s="84"/>
      <c r="C80" s="85"/>
      <c r="D80" s="86"/>
      <c r="E80" s="85"/>
      <c r="I80" s="234" t="s">
        <v>250</v>
      </c>
      <c r="J80" s="111" t="s">
        <v>100</v>
      </c>
      <c r="K80" s="280" t="s">
        <v>331</v>
      </c>
      <c r="L80" s="117" t="s">
        <v>142</v>
      </c>
      <c r="M80" s="114">
        <v>46</v>
      </c>
      <c r="Q80" s="96" t="s">
        <v>396</v>
      </c>
      <c r="R80" s="96">
        <v>0</v>
      </c>
      <c r="S80" s="96">
        <v>0</v>
      </c>
      <c r="T80" s="96"/>
    </row>
    <row r="81" spans="1:20">
      <c r="A81" s="85"/>
      <c r="B81" s="84"/>
      <c r="C81" s="85"/>
      <c r="D81" s="86"/>
      <c r="E81" s="85"/>
      <c r="I81" s="69"/>
      <c r="J81" s="80"/>
      <c r="K81" s="81"/>
      <c r="L81" s="82"/>
      <c r="M81" s="81"/>
      <c r="Q81" s="95" t="s">
        <v>397</v>
      </c>
      <c r="R81" s="96">
        <v>0</v>
      </c>
      <c r="S81" s="96">
        <v>0</v>
      </c>
      <c r="T81" s="96"/>
    </row>
    <row r="82" spans="1:20">
      <c r="A82" s="65" t="s">
        <v>242</v>
      </c>
      <c r="B82" s="84"/>
      <c r="C82" s="85"/>
      <c r="D82" s="86"/>
      <c r="E82" s="85">
        <f>SUM(E73:E81)</f>
        <v>385</v>
      </c>
      <c r="I82" s="65" t="s">
        <v>234</v>
      </c>
      <c r="J82" s="80"/>
      <c r="K82" s="81"/>
      <c r="L82" s="82"/>
      <c r="M82" s="81"/>
      <c r="Q82" s="95" t="s">
        <v>291</v>
      </c>
      <c r="R82" s="96">
        <v>0</v>
      </c>
      <c r="S82" s="96">
        <v>0</v>
      </c>
      <c r="T82" s="96"/>
    </row>
    <row r="83" spans="1:20">
      <c r="A83" s="65" t="s">
        <v>318</v>
      </c>
      <c r="B83" s="84"/>
      <c r="C83" s="85"/>
      <c r="D83" s="86"/>
      <c r="E83" s="85">
        <v>3</v>
      </c>
      <c r="I83" s="234" t="s">
        <v>250</v>
      </c>
      <c r="J83" s="84" t="s">
        <v>100</v>
      </c>
      <c r="K83" s="125" t="s">
        <v>331</v>
      </c>
      <c r="L83" s="89" t="s">
        <v>142</v>
      </c>
      <c r="M83" s="85">
        <v>46</v>
      </c>
      <c r="Q83" s="95" t="s">
        <v>288</v>
      </c>
      <c r="R83" s="96">
        <v>0</v>
      </c>
      <c r="S83" s="96">
        <v>0</v>
      </c>
      <c r="T83" s="96"/>
    </row>
    <row r="84" spans="1:20">
      <c r="I84" s="234" t="s">
        <v>250</v>
      </c>
      <c r="J84" s="84" t="s">
        <v>100</v>
      </c>
      <c r="K84" s="125" t="s">
        <v>331</v>
      </c>
      <c r="L84" s="89" t="s">
        <v>142</v>
      </c>
      <c r="M84" s="85">
        <v>46</v>
      </c>
      <c r="Q84" s="95" t="s">
        <v>398</v>
      </c>
      <c r="R84" s="96">
        <v>0</v>
      </c>
      <c r="S84" s="96">
        <v>0</v>
      </c>
      <c r="T84" s="96"/>
    </row>
    <row r="85" spans="1:20">
      <c r="A85" s="239"/>
      <c r="B85" s="85"/>
      <c r="C85" s="240" t="s">
        <v>336</v>
      </c>
      <c r="D85" s="108"/>
      <c r="I85" s="234" t="s">
        <v>250</v>
      </c>
      <c r="J85" s="84"/>
      <c r="K85" s="85"/>
      <c r="L85" s="86"/>
      <c r="M85" s="85"/>
      <c r="Q85" s="95" t="s">
        <v>290</v>
      </c>
      <c r="R85" s="96">
        <f>U64</f>
        <v>554</v>
      </c>
      <c r="S85" s="96">
        <v>4</v>
      </c>
      <c r="T85" s="96"/>
    </row>
    <row r="86" spans="1:20">
      <c r="A86" s="65" t="s">
        <v>275</v>
      </c>
      <c r="B86" s="111" t="s">
        <v>49</v>
      </c>
      <c r="C86" s="85"/>
      <c r="D86" s="108"/>
      <c r="I86" s="234" t="s">
        <v>271</v>
      </c>
      <c r="J86" s="84"/>
      <c r="K86" s="85"/>
      <c r="L86" s="86"/>
      <c r="M86" s="85"/>
      <c r="Q86" s="95" t="s">
        <v>399</v>
      </c>
      <c r="R86" s="96">
        <v>0</v>
      </c>
      <c r="S86" s="96">
        <v>0</v>
      </c>
      <c r="T86" s="96"/>
    </row>
    <row r="87" spans="1:20">
      <c r="A87" s="65" t="s">
        <v>277</v>
      </c>
      <c r="B87" s="111"/>
      <c r="C87" s="85"/>
      <c r="D87" s="108"/>
      <c r="I87" s="234" t="s">
        <v>271</v>
      </c>
      <c r="J87" s="84"/>
      <c r="K87" s="85"/>
      <c r="L87" s="86"/>
      <c r="M87" s="85"/>
      <c r="Q87" s="95" t="s">
        <v>400</v>
      </c>
      <c r="R87" s="96">
        <v>0</v>
      </c>
      <c r="S87" s="96">
        <v>0</v>
      </c>
      <c r="T87" s="96"/>
    </row>
    <row r="88" spans="1:20">
      <c r="A88" s="65" t="s">
        <v>278</v>
      </c>
      <c r="B88" s="111"/>
      <c r="C88" s="85"/>
      <c r="D88" s="108"/>
      <c r="I88" s="234" t="s">
        <v>271</v>
      </c>
      <c r="J88" s="84"/>
      <c r="K88" s="85"/>
      <c r="L88" s="86"/>
      <c r="M88" s="85"/>
      <c r="Q88" s="95" t="s">
        <v>400</v>
      </c>
      <c r="R88" s="96">
        <v>0</v>
      </c>
      <c r="S88" s="96">
        <v>0</v>
      </c>
      <c r="T88" s="96"/>
    </row>
    <row r="89" spans="1:20">
      <c r="A89" s="65" t="s">
        <v>282</v>
      </c>
      <c r="B89" s="111" t="s">
        <v>746</v>
      </c>
      <c r="C89" s="85"/>
      <c r="D89" s="108"/>
      <c r="I89" s="234" t="s">
        <v>271</v>
      </c>
      <c r="J89" s="84"/>
      <c r="K89" s="85"/>
      <c r="L89" s="86"/>
      <c r="M89" s="85"/>
      <c r="Q89" s="96"/>
      <c r="R89" s="94">
        <f>SUM(R76:R88)</f>
        <v>1099</v>
      </c>
      <c r="S89" s="94">
        <v>13</v>
      </c>
      <c r="T89" s="96"/>
    </row>
    <row r="90" spans="1:20">
      <c r="A90" s="65"/>
      <c r="B90" s="84"/>
      <c r="C90" s="85"/>
      <c r="D90" s="108"/>
      <c r="I90" s="81"/>
      <c r="J90" s="80"/>
      <c r="K90" s="81"/>
      <c r="L90" s="82"/>
      <c r="M90" s="81"/>
    </row>
    <row r="91" spans="1:20">
      <c r="A91" s="241" t="s">
        <v>284</v>
      </c>
      <c r="B91" s="241"/>
      <c r="C91" s="241"/>
      <c r="D91" s="108"/>
      <c r="I91" s="81"/>
      <c r="J91" s="80"/>
      <c r="K91" s="81"/>
      <c r="L91" s="82"/>
      <c r="M91" s="81"/>
    </row>
    <row r="92" spans="1:20">
      <c r="A92" s="241"/>
      <c r="B92" s="241" t="s">
        <v>339</v>
      </c>
      <c r="C92" s="241" t="s">
        <v>15</v>
      </c>
      <c r="D92" s="241" t="s">
        <v>5</v>
      </c>
      <c r="I92" s="65" t="s">
        <v>242</v>
      </c>
      <c r="J92" s="84"/>
      <c r="K92" s="85"/>
      <c r="L92" s="86"/>
      <c r="M92" s="85">
        <f>SUM(M79:M89)</f>
        <v>166</v>
      </c>
    </row>
    <row r="93" spans="1:20">
      <c r="A93" s="242" t="s">
        <v>286</v>
      </c>
      <c r="B93" s="242">
        <f>E25</f>
        <v>321</v>
      </c>
      <c r="C93" s="242">
        <v>7</v>
      </c>
      <c r="D93" s="242"/>
      <c r="I93" s="65" t="s">
        <v>318</v>
      </c>
      <c r="J93" s="84"/>
      <c r="K93" s="85"/>
      <c r="L93" s="86"/>
      <c r="M93" s="85">
        <v>4</v>
      </c>
    </row>
    <row r="94" spans="1:20">
      <c r="A94" s="242" t="s">
        <v>287</v>
      </c>
      <c r="B94" s="242">
        <f>E50</f>
        <v>226</v>
      </c>
      <c r="C94" s="242">
        <v>5</v>
      </c>
      <c r="D94" s="242"/>
    </row>
    <row r="95" spans="1:20">
      <c r="A95" s="242" t="s">
        <v>288</v>
      </c>
      <c r="B95" s="242">
        <f>E68</f>
        <v>166</v>
      </c>
      <c r="C95" s="242">
        <v>3</v>
      </c>
      <c r="D95" s="242"/>
      <c r="I95" s="243"/>
      <c r="J95" s="81"/>
      <c r="K95" s="240" t="s">
        <v>336</v>
      </c>
      <c r="L95" s="244"/>
    </row>
    <row r="96" spans="1:20">
      <c r="A96" s="242" t="s">
        <v>290</v>
      </c>
      <c r="B96" s="242">
        <f>E82</f>
        <v>385</v>
      </c>
      <c r="C96" s="242">
        <v>3</v>
      </c>
      <c r="D96" s="242"/>
      <c r="I96" s="65" t="s">
        <v>275</v>
      </c>
      <c r="J96" s="111" t="s">
        <v>49</v>
      </c>
      <c r="K96" s="81"/>
      <c r="L96" s="244"/>
    </row>
    <row r="97" spans="1:14">
      <c r="A97" s="242"/>
      <c r="B97" s="241">
        <f>SUM(B93:B96)</f>
        <v>1098</v>
      </c>
      <c r="C97" s="241">
        <v>18</v>
      </c>
      <c r="D97" s="242"/>
      <c r="I97" s="65" t="s">
        <v>277</v>
      </c>
      <c r="J97" s="111"/>
      <c r="K97" s="81"/>
      <c r="L97" s="244"/>
    </row>
    <row r="98" spans="1:14">
      <c r="I98" s="65" t="s">
        <v>278</v>
      </c>
      <c r="J98" s="111"/>
      <c r="K98" s="81"/>
      <c r="L98" s="244"/>
    </row>
    <row r="99" spans="1:14">
      <c r="I99" s="65" t="s">
        <v>282</v>
      </c>
      <c r="J99" s="111" t="s">
        <v>32</v>
      </c>
      <c r="K99" s="81"/>
      <c r="L99" s="244"/>
    </row>
    <row r="100" spans="1:14">
      <c r="I100" s="245"/>
      <c r="J100" s="80"/>
      <c r="K100" s="81"/>
      <c r="L100" s="244"/>
    </row>
    <row r="101" spans="1:14">
      <c r="I101" s="112" t="s">
        <v>284</v>
      </c>
      <c r="J101" s="112"/>
      <c r="K101" s="112"/>
      <c r="L101" s="244"/>
    </row>
    <row r="102" spans="1:14">
      <c r="I102" s="112"/>
      <c r="J102" s="112" t="s">
        <v>339</v>
      </c>
      <c r="K102" s="112" t="s">
        <v>15</v>
      </c>
      <c r="L102" s="112" t="s">
        <v>5</v>
      </c>
    </row>
    <row r="103" spans="1:14">
      <c r="I103" s="113" t="s">
        <v>393</v>
      </c>
      <c r="J103" s="113">
        <v>0</v>
      </c>
      <c r="K103" s="113">
        <v>0</v>
      </c>
      <c r="L103" s="242"/>
    </row>
    <row r="104" spans="1:14">
      <c r="I104" s="242" t="s">
        <v>286</v>
      </c>
      <c r="J104" s="242">
        <f>M25</f>
        <v>192</v>
      </c>
      <c r="K104" s="242">
        <v>3</v>
      </c>
      <c r="L104" s="242"/>
    </row>
    <row r="105" spans="1:14">
      <c r="I105" s="242" t="s">
        <v>287</v>
      </c>
      <c r="J105" s="242">
        <f>M50</f>
        <v>192</v>
      </c>
      <c r="K105" s="242">
        <v>3</v>
      </c>
      <c r="L105" s="242"/>
    </row>
    <row r="106" spans="1:14">
      <c r="I106" s="113" t="s">
        <v>397</v>
      </c>
      <c r="J106" s="242">
        <f>M74</f>
        <v>549</v>
      </c>
      <c r="K106" s="242">
        <v>9</v>
      </c>
      <c r="L106" s="242"/>
    </row>
    <row r="107" spans="1:14">
      <c r="I107" s="113" t="s">
        <v>288</v>
      </c>
      <c r="J107" s="242">
        <f>M92</f>
        <v>166</v>
      </c>
      <c r="K107" s="242">
        <v>3</v>
      </c>
      <c r="L107" s="242"/>
    </row>
    <row r="108" spans="1:14">
      <c r="I108" s="242"/>
      <c r="J108" s="112">
        <f>SUM(J103:J107)</f>
        <v>1099</v>
      </c>
      <c r="K108" s="112">
        <v>18</v>
      </c>
      <c r="L108" s="242"/>
    </row>
    <row r="112" spans="1:14">
      <c r="N112">
        <v>24</v>
      </c>
    </row>
    <row r="113" spans="14:14">
      <c r="N113">
        <v>15</v>
      </c>
    </row>
    <row r="114" spans="14:14">
      <c r="N114">
        <f>J108-N113-N112</f>
        <v>1060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496-578E-407E-A37B-229DE9436E5A}">
  <sheetPr>
    <pageSetUpPr fitToPage="1"/>
  </sheetPr>
  <dimension ref="A1:U108"/>
  <sheetViews>
    <sheetView topLeftCell="A61" workbookViewId="0">
      <selection activeCell="B7" sqref="B7"/>
    </sheetView>
  </sheetViews>
  <sheetFormatPr defaultRowHeight="15"/>
  <cols>
    <col min="1" max="1" width="37.7109375" bestFit="1" customWidth="1"/>
    <col min="2" max="2" width="19.42578125" bestFit="1" customWidth="1"/>
    <col min="3" max="3" width="37" bestFit="1" customWidth="1"/>
    <col min="6" max="6" width="10.85546875" bestFit="1" customWidth="1"/>
    <col min="9" max="9" width="31.85546875" bestFit="1" customWidth="1"/>
    <col min="10" max="10" width="21.85546875" customWidth="1"/>
    <col min="11" max="11" width="40.140625" bestFit="1" customWidth="1"/>
    <col min="17" max="17" width="37.7109375" bestFit="1" customWidth="1"/>
    <col min="18" max="18" width="19.140625" bestFit="1" customWidth="1"/>
    <col min="19" max="19" width="47.28515625" bestFit="1" customWidth="1"/>
  </cols>
  <sheetData>
    <row r="1" spans="1:21">
      <c r="C1" s="14" t="s">
        <v>782</v>
      </c>
      <c r="K1" t="s">
        <v>37</v>
      </c>
      <c r="S1" t="s">
        <v>37</v>
      </c>
    </row>
    <row r="2" spans="1:21">
      <c r="A2" t="s">
        <v>30</v>
      </c>
      <c r="B2" t="s">
        <v>38</v>
      </c>
      <c r="C2" t="s">
        <v>783</v>
      </c>
      <c r="I2" t="s">
        <v>35</v>
      </c>
      <c r="J2" t="s">
        <v>38</v>
      </c>
      <c r="K2" t="s">
        <v>784</v>
      </c>
      <c r="Q2" t="s">
        <v>32</v>
      </c>
      <c r="R2" t="s">
        <v>38</v>
      </c>
      <c r="S2" t="s">
        <v>785</v>
      </c>
    </row>
    <row r="3" spans="1:21" ht="45.75">
      <c r="A3" s="15"/>
      <c r="B3" s="16" t="s">
        <v>215</v>
      </c>
      <c r="C3" s="17" t="s">
        <v>216</v>
      </c>
      <c r="D3" s="18" t="s">
        <v>217</v>
      </c>
      <c r="E3" s="19" t="s">
        <v>218</v>
      </c>
      <c r="I3" s="42" t="s">
        <v>753</v>
      </c>
      <c r="J3" s="43" t="s">
        <v>215</v>
      </c>
      <c r="K3" s="43" t="s">
        <v>216</v>
      </c>
      <c r="L3" s="44" t="s">
        <v>217</v>
      </c>
      <c r="M3" s="45" t="s">
        <v>218</v>
      </c>
      <c r="Q3" s="42"/>
      <c r="R3" s="43" t="s">
        <v>215</v>
      </c>
      <c r="S3" s="65" t="s">
        <v>216</v>
      </c>
      <c r="T3" s="66" t="s">
        <v>217</v>
      </c>
      <c r="U3" s="45" t="s">
        <v>218</v>
      </c>
    </row>
    <row r="4" spans="1:21">
      <c r="A4" s="20" t="s">
        <v>219</v>
      </c>
      <c r="B4" s="21"/>
      <c r="C4" s="22"/>
      <c r="D4" s="23"/>
      <c r="E4" s="24"/>
      <c r="I4" s="46" t="s">
        <v>219</v>
      </c>
      <c r="J4" s="47" t="s">
        <v>753</v>
      </c>
      <c r="K4" s="47" t="s">
        <v>753</v>
      </c>
      <c r="L4" s="48" t="s">
        <v>753</v>
      </c>
      <c r="M4" s="49" t="s">
        <v>753</v>
      </c>
      <c r="Q4" s="67" t="s">
        <v>219</v>
      </c>
      <c r="R4" s="68"/>
      <c r="S4" s="69"/>
      <c r="T4" s="70"/>
      <c r="U4" s="71"/>
    </row>
    <row r="5" spans="1:21" ht="30.75">
      <c r="A5" s="25" t="s">
        <v>220</v>
      </c>
      <c r="B5" s="26" t="s">
        <v>100</v>
      </c>
      <c r="C5" s="268" t="s">
        <v>786</v>
      </c>
      <c r="D5" s="28" t="s">
        <v>78</v>
      </c>
      <c r="E5" s="29">
        <v>21</v>
      </c>
      <c r="I5" s="50" t="s">
        <v>220</v>
      </c>
      <c r="J5" s="51" t="s">
        <v>145</v>
      </c>
      <c r="K5" s="292" t="s">
        <v>787</v>
      </c>
      <c r="L5" s="52" t="s">
        <v>78</v>
      </c>
      <c r="M5" s="53">
        <v>30</v>
      </c>
      <c r="Q5" s="72" t="s">
        <v>220</v>
      </c>
      <c r="R5" s="73" t="s">
        <v>100</v>
      </c>
      <c r="S5" s="256" t="s">
        <v>787</v>
      </c>
      <c r="T5" s="75" t="s">
        <v>127</v>
      </c>
      <c r="U5" s="76">
        <v>21</v>
      </c>
    </row>
    <row r="6" spans="1:21" ht="30.75">
      <c r="A6" s="25" t="s">
        <v>226</v>
      </c>
      <c r="B6" s="26" t="s">
        <v>145</v>
      </c>
      <c r="C6" s="268" t="s">
        <v>788</v>
      </c>
      <c r="D6" s="28" t="s">
        <v>78</v>
      </c>
      <c r="E6" s="29">
        <v>75</v>
      </c>
      <c r="I6" s="50" t="s">
        <v>226</v>
      </c>
      <c r="J6" s="51" t="s">
        <v>145</v>
      </c>
      <c r="K6" s="293" t="s">
        <v>789</v>
      </c>
      <c r="L6" s="54" t="s">
        <v>78</v>
      </c>
      <c r="M6" s="53">
        <v>90</v>
      </c>
      <c r="Q6" s="72" t="s">
        <v>226</v>
      </c>
      <c r="R6" s="73" t="s">
        <v>145</v>
      </c>
      <c r="S6" s="257" t="s">
        <v>790</v>
      </c>
      <c r="T6" s="78" t="s">
        <v>127</v>
      </c>
      <c r="U6" s="76">
        <v>106</v>
      </c>
    </row>
    <row r="7" spans="1:21" ht="30.75">
      <c r="A7" s="25" t="s">
        <v>232</v>
      </c>
      <c r="B7" s="26" t="s">
        <v>124</v>
      </c>
      <c r="C7" s="268" t="s">
        <v>791</v>
      </c>
      <c r="D7" s="28" t="s">
        <v>78</v>
      </c>
      <c r="E7" s="269">
        <v>100</v>
      </c>
      <c r="G7">
        <v>16</v>
      </c>
      <c r="I7" s="50" t="s">
        <v>232</v>
      </c>
      <c r="J7" s="51" t="s">
        <v>145</v>
      </c>
      <c r="K7" s="293" t="s">
        <v>789</v>
      </c>
      <c r="L7" s="54" t="s">
        <v>78</v>
      </c>
      <c r="M7" s="53">
        <v>90</v>
      </c>
      <c r="N7" s="14"/>
      <c r="O7" s="14"/>
      <c r="Q7" s="72" t="s">
        <v>232</v>
      </c>
      <c r="R7" s="73" t="s">
        <v>145</v>
      </c>
      <c r="S7" s="257" t="s">
        <v>792</v>
      </c>
      <c r="T7" s="78" t="s">
        <v>127</v>
      </c>
      <c r="U7" s="76">
        <v>84</v>
      </c>
    </row>
    <row r="8" spans="1:21">
      <c r="A8" s="30"/>
      <c r="B8" s="31"/>
      <c r="C8" s="32"/>
      <c r="D8" s="33"/>
      <c r="E8" s="34"/>
      <c r="I8" s="55" t="s">
        <v>753</v>
      </c>
      <c r="J8" s="56" t="s">
        <v>753</v>
      </c>
      <c r="K8" s="56" t="s">
        <v>753</v>
      </c>
      <c r="L8" s="57" t="s">
        <v>753</v>
      </c>
      <c r="M8" s="58" t="s">
        <v>753</v>
      </c>
      <c r="Q8" s="79"/>
      <c r="R8" s="80"/>
      <c r="S8" s="81"/>
      <c r="T8" s="82"/>
      <c r="U8" s="83"/>
    </row>
    <row r="9" spans="1:21">
      <c r="A9" s="20" t="s">
        <v>234</v>
      </c>
      <c r="B9" s="31"/>
      <c r="C9" s="32"/>
      <c r="D9" s="33"/>
      <c r="E9" s="34"/>
      <c r="I9" s="46" t="s">
        <v>234</v>
      </c>
      <c r="J9" s="56" t="s">
        <v>753</v>
      </c>
      <c r="K9" s="56" t="s">
        <v>753</v>
      </c>
      <c r="L9" s="57" t="s">
        <v>753</v>
      </c>
      <c r="M9" s="58" t="s">
        <v>753</v>
      </c>
      <c r="Q9" s="67" t="s">
        <v>234</v>
      </c>
      <c r="R9" s="80"/>
      <c r="S9" s="81"/>
      <c r="T9" s="82"/>
      <c r="U9" s="83"/>
    </row>
    <row r="10" spans="1:21">
      <c r="A10" s="25" t="s">
        <v>303</v>
      </c>
      <c r="B10" s="35"/>
      <c r="C10" s="36"/>
      <c r="D10" s="37"/>
      <c r="E10" s="38"/>
      <c r="I10" s="50" t="s">
        <v>303</v>
      </c>
      <c r="J10" s="59" t="s">
        <v>753</v>
      </c>
      <c r="K10" s="59" t="s">
        <v>753</v>
      </c>
      <c r="L10" s="60" t="s">
        <v>753</v>
      </c>
      <c r="M10" s="61" t="s">
        <v>753</v>
      </c>
      <c r="Q10" s="72" t="s">
        <v>303</v>
      </c>
      <c r="R10" s="84" t="s">
        <v>145</v>
      </c>
      <c r="S10" s="234" t="s">
        <v>793</v>
      </c>
      <c r="T10" s="86" t="s">
        <v>127</v>
      </c>
      <c r="U10" s="87">
        <v>92</v>
      </c>
    </row>
    <row r="11" spans="1:21">
      <c r="A11" s="25" t="s">
        <v>303</v>
      </c>
      <c r="B11" s="35"/>
      <c r="C11" s="36"/>
      <c r="D11" s="37"/>
      <c r="E11" s="38"/>
      <c r="I11" s="50" t="s">
        <v>303</v>
      </c>
      <c r="J11" s="59" t="s">
        <v>753</v>
      </c>
      <c r="K11" s="59" t="s">
        <v>753</v>
      </c>
      <c r="L11" s="60" t="s">
        <v>753</v>
      </c>
      <c r="M11" s="61" t="s">
        <v>753</v>
      </c>
      <c r="Q11" s="72" t="s">
        <v>303</v>
      </c>
      <c r="R11" s="84"/>
      <c r="S11" s="85"/>
      <c r="T11" s="86"/>
      <c r="U11" s="87"/>
    </row>
    <row r="12" spans="1:21">
      <c r="A12" s="25" t="s">
        <v>305</v>
      </c>
      <c r="B12" s="35"/>
      <c r="C12" s="36"/>
      <c r="D12" s="37"/>
      <c r="E12" s="38"/>
      <c r="I12" s="50" t="s">
        <v>305</v>
      </c>
      <c r="J12" s="59" t="s">
        <v>753</v>
      </c>
      <c r="K12" s="59" t="s">
        <v>753</v>
      </c>
      <c r="L12" s="60" t="s">
        <v>753</v>
      </c>
      <c r="M12" s="61" t="s">
        <v>753</v>
      </c>
      <c r="Q12" s="72" t="s">
        <v>305</v>
      </c>
      <c r="R12" s="84"/>
      <c r="S12" s="85"/>
      <c r="T12" s="86"/>
      <c r="U12" s="87"/>
    </row>
    <row r="13" spans="1:21">
      <c r="A13" s="25" t="s">
        <v>306</v>
      </c>
      <c r="B13" s="35"/>
      <c r="C13" s="36"/>
      <c r="D13" s="37"/>
      <c r="E13" s="38"/>
      <c r="I13" s="50" t="s">
        <v>306</v>
      </c>
      <c r="J13" s="59" t="s">
        <v>753</v>
      </c>
      <c r="K13" s="59" t="s">
        <v>753</v>
      </c>
      <c r="L13" s="60" t="s">
        <v>753</v>
      </c>
      <c r="M13" s="61" t="s">
        <v>753</v>
      </c>
      <c r="Q13" s="72" t="s">
        <v>306</v>
      </c>
      <c r="R13" s="84" t="s">
        <v>145</v>
      </c>
      <c r="S13" s="234" t="s">
        <v>794</v>
      </c>
      <c r="T13" s="86" t="s">
        <v>127</v>
      </c>
      <c r="U13" s="87">
        <v>75</v>
      </c>
    </row>
    <row r="14" spans="1:21">
      <c r="A14" s="25" t="s">
        <v>309</v>
      </c>
      <c r="B14" s="35" t="s">
        <v>145</v>
      </c>
      <c r="C14" s="270" t="s">
        <v>795</v>
      </c>
      <c r="D14" s="37" t="s">
        <v>78</v>
      </c>
      <c r="E14" s="38">
        <v>30</v>
      </c>
      <c r="I14" s="50" t="s">
        <v>309</v>
      </c>
      <c r="J14" s="59" t="s">
        <v>145</v>
      </c>
      <c r="K14" s="294" t="s">
        <v>796</v>
      </c>
      <c r="L14" s="60" t="s">
        <v>78</v>
      </c>
      <c r="M14" s="61">
        <v>30</v>
      </c>
      <c r="Q14" s="72" t="s">
        <v>309</v>
      </c>
      <c r="R14" s="84" t="s">
        <v>145</v>
      </c>
      <c r="S14" s="234" t="s">
        <v>796</v>
      </c>
      <c r="T14" s="86" t="s">
        <v>127</v>
      </c>
      <c r="U14" s="87">
        <v>30</v>
      </c>
    </row>
    <row r="15" spans="1:21">
      <c r="A15" s="25" t="s">
        <v>309</v>
      </c>
      <c r="B15" s="35"/>
      <c r="C15" s="36"/>
      <c r="D15" s="37"/>
      <c r="E15" s="38"/>
      <c r="I15" s="50" t="s">
        <v>309</v>
      </c>
      <c r="J15" s="59" t="s">
        <v>753</v>
      </c>
      <c r="K15" s="59" t="s">
        <v>753</v>
      </c>
      <c r="L15" s="60" t="s">
        <v>753</v>
      </c>
      <c r="M15" s="61" t="s">
        <v>753</v>
      </c>
      <c r="Q15" s="72" t="s">
        <v>309</v>
      </c>
      <c r="R15" s="84"/>
      <c r="S15" s="85"/>
      <c r="T15" s="86"/>
      <c r="U15" s="87"/>
    </row>
    <row r="16" spans="1:21">
      <c r="A16" s="25" t="s">
        <v>310</v>
      </c>
      <c r="B16" s="35"/>
      <c r="C16" s="36"/>
      <c r="D16" s="37"/>
      <c r="E16" s="38"/>
      <c r="I16" s="50" t="s">
        <v>310</v>
      </c>
      <c r="J16" s="59" t="s">
        <v>145</v>
      </c>
      <c r="K16" s="294" t="s">
        <v>797</v>
      </c>
      <c r="L16" s="60" t="s">
        <v>78</v>
      </c>
      <c r="M16" s="61">
        <v>54</v>
      </c>
      <c r="Q16" s="72" t="s">
        <v>310</v>
      </c>
      <c r="R16" s="84" t="s">
        <v>145</v>
      </c>
      <c r="S16" s="234" t="s">
        <v>797</v>
      </c>
      <c r="T16" s="86" t="s">
        <v>127</v>
      </c>
      <c r="U16" s="87">
        <v>52</v>
      </c>
    </row>
    <row r="17" spans="1:21">
      <c r="A17" s="25" t="s">
        <v>235</v>
      </c>
      <c r="B17" s="35"/>
      <c r="C17" s="36"/>
      <c r="D17" s="37"/>
      <c r="E17" s="38"/>
      <c r="I17" s="50" t="s">
        <v>235</v>
      </c>
      <c r="J17" s="59" t="s">
        <v>145</v>
      </c>
      <c r="K17" s="294" t="s">
        <v>798</v>
      </c>
      <c r="L17" s="60" t="s">
        <v>78</v>
      </c>
      <c r="M17" s="61">
        <v>60</v>
      </c>
      <c r="Q17" s="72" t="s">
        <v>235</v>
      </c>
      <c r="R17" s="84"/>
      <c r="S17" s="85"/>
      <c r="T17" s="86"/>
      <c r="U17" s="87"/>
    </row>
    <row r="18" spans="1:21">
      <c r="A18" s="25" t="s">
        <v>240</v>
      </c>
      <c r="B18" s="35" t="s">
        <v>145</v>
      </c>
      <c r="C18" s="270" t="s">
        <v>799</v>
      </c>
      <c r="D18" s="37" t="s">
        <v>78</v>
      </c>
      <c r="E18" s="38">
        <v>46</v>
      </c>
      <c r="I18" s="50" t="s">
        <v>240</v>
      </c>
      <c r="J18" s="59" t="s">
        <v>145</v>
      </c>
      <c r="K18" s="294" t="s">
        <v>800</v>
      </c>
      <c r="L18" s="60" t="s">
        <v>78</v>
      </c>
      <c r="M18" s="61">
        <v>16</v>
      </c>
      <c r="Q18" s="72" t="s">
        <v>240</v>
      </c>
      <c r="R18" s="84"/>
      <c r="S18" s="85"/>
      <c r="T18" s="86"/>
      <c r="U18" s="87"/>
    </row>
    <row r="19" spans="1:21">
      <c r="A19" s="25" t="s">
        <v>240</v>
      </c>
      <c r="B19" s="35" t="s">
        <v>145</v>
      </c>
      <c r="C19" s="270" t="s">
        <v>799</v>
      </c>
      <c r="D19" s="37" t="s">
        <v>78</v>
      </c>
      <c r="E19" s="38">
        <v>46</v>
      </c>
      <c r="I19" s="50" t="s">
        <v>240</v>
      </c>
      <c r="J19" s="59" t="s">
        <v>145</v>
      </c>
      <c r="K19" s="294" t="s">
        <v>800</v>
      </c>
      <c r="L19" s="60" t="s">
        <v>78</v>
      </c>
      <c r="M19" s="61">
        <v>16</v>
      </c>
      <c r="Q19" s="72" t="s">
        <v>240</v>
      </c>
      <c r="R19" s="84"/>
      <c r="S19" s="85"/>
      <c r="T19" s="86"/>
      <c r="U19" s="87"/>
    </row>
    <row r="20" spans="1:21">
      <c r="A20" s="25" t="s">
        <v>240</v>
      </c>
      <c r="B20" s="35"/>
      <c r="C20" s="36"/>
      <c r="D20" s="37"/>
      <c r="E20" s="38"/>
      <c r="I20" s="50" t="s">
        <v>240</v>
      </c>
      <c r="J20" s="59" t="s">
        <v>145</v>
      </c>
      <c r="K20" s="294" t="s">
        <v>800</v>
      </c>
      <c r="L20" s="60" t="s">
        <v>78</v>
      </c>
      <c r="M20" s="61">
        <v>16</v>
      </c>
      <c r="Q20" s="72" t="s">
        <v>240</v>
      </c>
      <c r="R20" s="84"/>
      <c r="S20" s="85"/>
      <c r="T20" s="86"/>
      <c r="U20" s="87"/>
    </row>
    <row r="21" spans="1:21">
      <c r="A21" s="25" t="s">
        <v>240</v>
      </c>
      <c r="B21" s="35"/>
      <c r="C21" s="36"/>
      <c r="D21" s="37"/>
      <c r="E21" s="38"/>
      <c r="I21" s="50" t="s">
        <v>240</v>
      </c>
      <c r="J21" s="59" t="s">
        <v>753</v>
      </c>
      <c r="K21" s="59" t="s">
        <v>753</v>
      </c>
      <c r="L21" s="60" t="s">
        <v>753</v>
      </c>
      <c r="M21" s="61" t="s">
        <v>753</v>
      </c>
      <c r="Q21" s="72" t="s">
        <v>240</v>
      </c>
      <c r="R21" s="84"/>
      <c r="S21" s="85"/>
      <c r="T21" s="86"/>
      <c r="U21" s="87"/>
    </row>
    <row r="22" spans="1:21">
      <c r="A22" s="25" t="s">
        <v>240</v>
      </c>
      <c r="B22" s="35"/>
      <c r="C22" s="36"/>
      <c r="D22" s="37"/>
      <c r="E22" s="38"/>
      <c r="I22" s="50" t="s">
        <v>240</v>
      </c>
      <c r="J22" s="59" t="s">
        <v>753</v>
      </c>
      <c r="K22" s="59" t="s">
        <v>753</v>
      </c>
      <c r="L22" s="60" t="s">
        <v>753</v>
      </c>
      <c r="M22" s="61" t="s">
        <v>753</v>
      </c>
      <c r="Q22" s="72" t="s">
        <v>240</v>
      </c>
      <c r="R22" s="84"/>
      <c r="S22" s="85"/>
      <c r="T22" s="86"/>
      <c r="U22" s="87"/>
    </row>
    <row r="23" spans="1:21">
      <c r="A23" s="15"/>
      <c r="B23" s="31"/>
      <c r="C23" s="32"/>
      <c r="D23" s="33"/>
      <c r="E23" s="34"/>
      <c r="I23" s="62" t="s">
        <v>753</v>
      </c>
      <c r="J23" s="56" t="s">
        <v>753</v>
      </c>
      <c r="K23" s="56" t="s">
        <v>753</v>
      </c>
      <c r="L23" s="57" t="s">
        <v>753</v>
      </c>
      <c r="M23" s="58" t="s">
        <v>753</v>
      </c>
      <c r="Q23" s="42"/>
      <c r="R23" s="80"/>
      <c r="S23" s="81"/>
      <c r="T23" s="82"/>
      <c r="U23" s="83"/>
    </row>
    <row r="24" spans="1:21">
      <c r="A24" s="15"/>
      <c r="B24" s="31"/>
      <c r="C24" s="32"/>
      <c r="D24" s="33"/>
      <c r="E24" s="34"/>
      <c r="I24" s="62" t="s">
        <v>753</v>
      </c>
      <c r="J24" s="56" t="s">
        <v>753</v>
      </c>
      <c r="K24" s="56" t="s">
        <v>753</v>
      </c>
      <c r="L24" s="57" t="s">
        <v>753</v>
      </c>
      <c r="M24" s="58" t="s">
        <v>753</v>
      </c>
      <c r="Q24" s="42"/>
      <c r="R24" s="80"/>
      <c r="S24" s="81"/>
      <c r="T24" s="82"/>
      <c r="U24" s="83"/>
    </row>
    <row r="25" spans="1:21">
      <c r="A25" s="20" t="s">
        <v>242</v>
      </c>
      <c r="B25" s="35"/>
      <c r="C25" s="36"/>
      <c r="D25" s="37"/>
      <c r="E25" s="38">
        <v>318</v>
      </c>
      <c r="I25" s="46" t="s">
        <v>242</v>
      </c>
      <c r="J25" s="59" t="s">
        <v>753</v>
      </c>
      <c r="K25" s="59" t="s">
        <v>753</v>
      </c>
      <c r="L25" s="60" t="s">
        <v>753</v>
      </c>
      <c r="M25" s="61">
        <v>402</v>
      </c>
      <c r="Q25" s="67" t="s">
        <v>242</v>
      </c>
      <c r="R25" s="84"/>
      <c r="S25" s="85"/>
      <c r="T25" s="86"/>
      <c r="U25" s="87">
        <v>460</v>
      </c>
    </row>
    <row r="26" spans="1:21">
      <c r="A26" s="20" t="s">
        <v>243</v>
      </c>
      <c r="B26" s="35"/>
      <c r="C26" s="36"/>
      <c r="D26" s="37"/>
      <c r="E26" s="38">
        <v>6</v>
      </c>
      <c r="I26" s="46" t="s">
        <v>243</v>
      </c>
      <c r="J26" s="59" t="s">
        <v>753</v>
      </c>
      <c r="K26" s="59" t="s">
        <v>753</v>
      </c>
      <c r="L26" s="60" t="s">
        <v>753</v>
      </c>
      <c r="M26" s="61">
        <v>9</v>
      </c>
      <c r="Q26" s="67" t="s">
        <v>243</v>
      </c>
      <c r="R26" s="84"/>
      <c r="S26" s="85"/>
      <c r="T26" s="86"/>
      <c r="U26" s="87">
        <v>7</v>
      </c>
    </row>
    <row r="28" spans="1:21" ht="45.75">
      <c r="A28" s="15"/>
      <c r="B28" s="39" t="s">
        <v>215</v>
      </c>
      <c r="C28" s="17" t="s">
        <v>216</v>
      </c>
      <c r="D28" s="18" t="s">
        <v>217</v>
      </c>
      <c r="E28" s="19" t="s">
        <v>218</v>
      </c>
      <c r="I28" s="42" t="s">
        <v>753</v>
      </c>
      <c r="J28" s="63" t="s">
        <v>215</v>
      </c>
      <c r="K28" s="43" t="s">
        <v>216</v>
      </c>
      <c r="L28" s="44" t="s">
        <v>217</v>
      </c>
      <c r="M28" s="45" t="s">
        <v>218</v>
      </c>
      <c r="Q28" s="42"/>
      <c r="R28" s="63" t="s">
        <v>215</v>
      </c>
      <c r="S28" s="65" t="s">
        <v>216</v>
      </c>
      <c r="T28" s="66" t="s">
        <v>217</v>
      </c>
      <c r="U28" s="45" t="s">
        <v>218</v>
      </c>
    </row>
    <row r="29" spans="1:21">
      <c r="A29" s="20" t="s">
        <v>219</v>
      </c>
      <c r="B29" s="21"/>
      <c r="C29" s="22"/>
      <c r="D29" s="23"/>
      <c r="E29" s="24"/>
      <c r="F29" s="14"/>
      <c r="G29" s="14"/>
      <c r="I29" s="46" t="s">
        <v>219</v>
      </c>
      <c r="J29" s="47" t="s">
        <v>753</v>
      </c>
      <c r="K29" s="47" t="s">
        <v>753</v>
      </c>
      <c r="L29" s="48" t="s">
        <v>753</v>
      </c>
      <c r="M29" s="49" t="s">
        <v>753</v>
      </c>
      <c r="Q29" s="67" t="s">
        <v>219</v>
      </c>
      <c r="R29" s="68"/>
      <c r="S29" s="69"/>
      <c r="T29" s="70"/>
      <c r="U29" s="71"/>
    </row>
    <row r="30" spans="1:21" ht="30.75">
      <c r="A30" s="25" t="s">
        <v>220</v>
      </c>
      <c r="B30" s="26" t="s">
        <v>100</v>
      </c>
      <c r="C30" s="268" t="s">
        <v>786</v>
      </c>
      <c r="D30" s="28" t="s">
        <v>78</v>
      </c>
      <c r="E30" s="29">
        <v>21</v>
      </c>
      <c r="I30" s="50" t="s">
        <v>220</v>
      </c>
      <c r="J30" s="51" t="s">
        <v>145</v>
      </c>
      <c r="K30" s="292" t="s">
        <v>787</v>
      </c>
      <c r="L30" s="52" t="s">
        <v>78</v>
      </c>
      <c r="M30" s="53">
        <v>30</v>
      </c>
      <c r="Q30" s="72" t="s">
        <v>220</v>
      </c>
      <c r="R30" s="73" t="s">
        <v>100</v>
      </c>
      <c r="S30" s="256" t="s">
        <v>787</v>
      </c>
      <c r="T30" s="75" t="s">
        <v>127</v>
      </c>
      <c r="U30" s="76">
        <v>21</v>
      </c>
    </row>
    <row r="31" spans="1:21" ht="30.75">
      <c r="A31" s="25" t="s">
        <v>226</v>
      </c>
      <c r="B31" s="26" t="s">
        <v>145</v>
      </c>
      <c r="C31" s="268" t="s">
        <v>788</v>
      </c>
      <c r="D31" s="28" t="s">
        <v>78</v>
      </c>
      <c r="E31" s="29">
        <v>75</v>
      </c>
      <c r="I31" s="50" t="s">
        <v>226</v>
      </c>
      <c r="J31" s="51" t="s">
        <v>145</v>
      </c>
      <c r="K31" s="293" t="s">
        <v>789</v>
      </c>
      <c r="L31" s="54" t="s">
        <v>78</v>
      </c>
      <c r="M31" s="53">
        <v>90</v>
      </c>
      <c r="N31" s="14"/>
      <c r="O31" s="14"/>
      <c r="Q31" s="72" t="s">
        <v>226</v>
      </c>
      <c r="R31" s="73" t="s">
        <v>145</v>
      </c>
      <c r="S31" s="257" t="s">
        <v>801</v>
      </c>
      <c r="T31" s="78" t="s">
        <v>127</v>
      </c>
      <c r="U31" s="76">
        <v>104</v>
      </c>
    </row>
    <row r="32" spans="1:21" ht="30.75">
      <c r="A32" s="25" t="s">
        <v>232</v>
      </c>
      <c r="B32" s="26" t="s">
        <v>124</v>
      </c>
      <c r="C32" s="268" t="s">
        <v>802</v>
      </c>
      <c r="D32" s="28" t="s">
        <v>78</v>
      </c>
      <c r="E32" s="29">
        <v>100</v>
      </c>
      <c r="I32" s="50" t="s">
        <v>232</v>
      </c>
      <c r="J32" s="51" t="s">
        <v>145</v>
      </c>
      <c r="K32" s="293" t="s">
        <v>789</v>
      </c>
      <c r="L32" s="54" t="s">
        <v>78</v>
      </c>
      <c r="M32" s="53">
        <v>90</v>
      </c>
      <c r="Q32" s="72" t="s">
        <v>232</v>
      </c>
      <c r="R32" s="73" t="s">
        <v>145</v>
      </c>
      <c r="S32" s="257" t="s">
        <v>801</v>
      </c>
      <c r="T32" s="78" t="s">
        <v>127</v>
      </c>
      <c r="U32" s="76">
        <v>104</v>
      </c>
    </row>
    <row r="33" spans="1:21">
      <c r="A33" s="30"/>
      <c r="B33" s="31"/>
      <c r="C33" s="32"/>
      <c r="D33" s="33"/>
      <c r="E33" s="34"/>
      <c r="I33" s="55" t="s">
        <v>753</v>
      </c>
      <c r="J33" s="56" t="s">
        <v>753</v>
      </c>
      <c r="K33" s="56" t="s">
        <v>753</v>
      </c>
      <c r="L33" s="57" t="s">
        <v>753</v>
      </c>
      <c r="M33" s="58" t="s">
        <v>753</v>
      </c>
      <c r="Q33" s="79"/>
      <c r="R33" s="80"/>
      <c r="S33" s="81"/>
      <c r="T33" s="82"/>
      <c r="U33" s="83"/>
    </row>
    <row r="34" spans="1:21">
      <c r="A34" s="20" t="s">
        <v>234</v>
      </c>
      <c r="B34" s="31"/>
      <c r="C34" s="32"/>
      <c r="D34" s="33"/>
      <c r="E34" s="34"/>
      <c r="I34" s="46" t="s">
        <v>234</v>
      </c>
      <c r="J34" s="56" t="s">
        <v>753</v>
      </c>
      <c r="K34" s="56" t="s">
        <v>753</v>
      </c>
      <c r="L34" s="57" t="s">
        <v>753</v>
      </c>
      <c r="M34" s="58" t="s">
        <v>753</v>
      </c>
      <c r="Q34" s="67" t="s">
        <v>234</v>
      </c>
      <c r="R34" s="80"/>
      <c r="S34" s="81"/>
      <c r="T34" s="82"/>
      <c r="U34" s="83"/>
    </row>
    <row r="35" spans="1:21">
      <c r="A35" s="25" t="s">
        <v>303</v>
      </c>
      <c r="B35" s="35"/>
      <c r="C35" s="36"/>
      <c r="D35" s="37"/>
      <c r="E35" s="38"/>
      <c r="I35" s="50" t="s">
        <v>303</v>
      </c>
      <c r="J35" s="59" t="s">
        <v>753</v>
      </c>
      <c r="K35" s="59" t="s">
        <v>753</v>
      </c>
      <c r="L35" s="60" t="s">
        <v>753</v>
      </c>
      <c r="M35" s="61" t="s">
        <v>753</v>
      </c>
      <c r="Q35" s="72" t="s">
        <v>303</v>
      </c>
      <c r="R35" s="84"/>
      <c r="S35" s="85"/>
      <c r="T35" s="86"/>
      <c r="U35" s="87"/>
    </row>
    <row r="36" spans="1:21">
      <c r="A36" s="25" t="s">
        <v>303</v>
      </c>
      <c r="B36" s="35"/>
      <c r="C36" s="36"/>
      <c r="D36" s="37"/>
      <c r="E36" s="38"/>
      <c r="I36" s="50" t="s">
        <v>303</v>
      </c>
      <c r="J36" s="59" t="s">
        <v>753</v>
      </c>
      <c r="K36" s="59" t="s">
        <v>753</v>
      </c>
      <c r="L36" s="60" t="s">
        <v>753</v>
      </c>
      <c r="M36" s="61" t="s">
        <v>753</v>
      </c>
      <c r="Q36" s="72" t="s">
        <v>303</v>
      </c>
      <c r="R36" s="84"/>
      <c r="S36" s="85"/>
      <c r="T36" s="86"/>
      <c r="U36" s="87"/>
    </row>
    <row r="37" spans="1:21">
      <c r="A37" s="25" t="s">
        <v>305</v>
      </c>
      <c r="B37" s="35"/>
      <c r="C37" s="36"/>
      <c r="D37" s="37"/>
      <c r="E37" s="38"/>
      <c r="I37" s="50" t="s">
        <v>305</v>
      </c>
      <c r="J37" s="59" t="s">
        <v>753</v>
      </c>
      <c r="K37" s="59" t="s">
        <v>753</v>
      </c>
      <c r="L37" s="60" t="s">
        <v>753</v>
      </c>
      <c r="M37" s="61" t="s">
        <v>753</v>
      </c>
      <c r="Q37" s="72" t="s">
        <v>305</v>
      </c>
      <c r="R37" s="84"/>
      <c r="S37" s="85"/>
      <c r="T37" s="86"/>
      <c r="U37" s="87"/>
    </row>
    <row r="38" spans="1:21">
      <c r="A38" s="25" t="s">
        <v>306</v>
      </c>
      <c r="B38" s="35"/>
      <c r="C38" s="36"/>
      <c r="D38" s="37"/>
      <c r="E38" s="38"/>
      <c r="I38" s="50" t="s">
        <v>306</v>
      </c>
      <c r="J38" s="59" t="s">
        <v>753</v>
      </c>
      <c r="K38" s="59" t="s">
        <v>753</v>
      </c>
      <c r="L38" s="60" t="s">
        <v>753</v>
      </c>
      <c r="M38" s="61" t="s">
        <v>753</v>
      </c>
      <c r="Q38" s="72" t="s">
        <v>306</v>
      </c>
      <c r="R38" s="84"/>
      <c r="S38" s="85"/>
      <c r="T38" s="86"/>
      <c r="U38" s="87"/>
    </row>
    <row r="39" spans="1:21">
      <c r="A39" s="25" t="s">
        <v>309</v>
      </c>
      <c r="B39" s="35" t="s">
        <v>145</v>
      </c>
      <c r="C39" s="270" t="s">
        <v>795</v>
      </c>
      <c r="D39" s="37" t="s">
        <v>78</v>
      </c>
      <c r="E39" s="38">
        <v>30</v>
      </c>
      <c r="I39" s="50" t="s">
        <v>309</v>
      </c>
      <c r="J39" s="59" t="s">
        <v>145</v>
      </c>
      <c r="K39" s="294" t="s">
        <v>796</v>
      </c>
      <c r="L39" s="60" t="s">
        <v>78</v>
      </c>
      <c r="M39" s="61">
        <v>30</v>
      </c>
      <c r="Q39" s="72" t="s">
        <v>309</v>
      </c>
      <c r="R39" s="84" t="s">
        <v>100</v>
      </c>
      <c r="S39" s="234" t="s">
        <v>803</v>
      </c>
      <c r="T39" s="86" t="s">
        <v>127</v>
      </c>
      <c r="U39" s="87">
        <v>20</v>
      </c>
    </row>
    <row r="40" spans="1:21">
      <c r="A40" s="25" t="s">
        <v>309</v>
      </c>
      <c r="B40" s="35"/>
      <c r="C40" s="36"/>
      <c r="D40" s="37"/>
      <c r="E40" s="38"/>
      <c r="I40" s="50" t="s">
        <v>309</v>
      </c>
      <c r="J40" s="59" t="s">
        <v>145</v>
      </c>
      <c r="K40" s="294" t="s">
        <v>796</v>
      </c>
      <c r="L40" s="60" t="s">
        <v>78</v>
      </c>
      <c r="M40" s="61">
        <v>30</v>
      </c>
      <c r="Q40" s="72" t="s">
        <v>309</v>
      </c>
      <c r="R40" s="84"/>
      <c r="S40" s="85"/>
      <c r="T40" s="86"/>
      <c r="U40" s="87"/>
    </row>
    <row r="41" spans="1:21">
      <c r="A41" s="25" t="s">
        <v>375</v>
      </c>
      <c r="B41" s="35"/>
      <c r="C41" s="36"/>
      <c r="D41" s="37"/>
      <c r="E41" s="38"/>
      <c r="I41" s="50" t="s">
        <v>375</v>
      </c>
      <c r="J41" s="59" t="s">
        <v>753</v>
      </c>
      <c r="K41" s="59" t="s">
        <v>753</v>
      </c>
      <c r="L41" s="60" t="s">
        <v>753</v>
      </c>
      <c r="M41" s="61" t="s">
        <v>753</v>
      </c>
      <c r="Q41" s="72" t="s">
        <v>375</v>
      </c>
      <c r="R41" s="84"/>
      <c r="S41" s="85"/>
      <c r="T41" s="86"/>
      <c r="U41" s="87"/>
    </row>
    <row r="42" spans="1:21">
      <c r="A42" s="25" t="s">
        <v>235</v>
      </c>
      <c r="B42" s="35"/>
      <c r="C42" s="36"/>
      <c r="D42" s="37"/>
      <c r="E42" s="38"/>
      <c r="I42" s="50" t="s">
        <v>235</v>
      </c>
      <c r="J42" s="59" t="s">
        <v>145</v>
      </c>
      <c r="K42" s="294" t="s">
        <v>804</v>
      </c>
      <c r="L42" s="60" t="s">
        <v>78</v>
      </c>
      <c r="M42" s="61">
        <v>25</v>
      </c>
      <c r="Q42" s="72" t="s">
        <v>235</v>
      </c>
      <c r="R42" s="84"/>
      <c r="S42" s="85"/>
      <c r="T42" s="86"/>
      <c r="U42" s="87"/>
    </row>
    <row r="43" spans="1:21">
      <c r="A43" s="25" t="s">
        <v>240</v>
      </c>
      <c r="B43" s="35" t="s">
        <v>145</v>
      </c>
      <c r="C43" s="270" t="s">
        <v>799</v>
      </c>
      <c r="D43" s="37" t="s">
        <v>78</v>
      </c>
      <c r="E43" s="38">
        <v>46</v>
      </c>
      <c r="I43" s="50" t="s">
        <v>240</v>
      </c>
      <c r="J43" s="59" t="s">
        <v>145</v>
      </c>
      <c r="K43" s="294" t="s">
        <v>800</v>
      </c>
      <c r="L43" s="60" t="s">
        <v>78</v>
      </c>
      <c r="M43" s="61">
        <v>16</v>
      </c>
      <c r="Q43" s="72" t="s">
        <v>240</v>
      </c>
      <c r="R43" s="84"/>
      <c r="S43" s="85"/>
      <c r="T43" s="86"/>
      <c r="U43" s="87"/>
    </row>
    <row r="44" spans="1:21">
      <c r="A44" s="25" t="s">
        <v>240</v>
      </c>
      <c r="B44" s="35" t="s">
        <v>145</v>
      </c>
      <c r="C44" s="270" t="s">
        <v>799</v>
      </c>
      <c r="D44" s="37" t="s">
        <v>78</v>
      </c>
      <c r="E44" s="38">
        <v>46</v>
      </c>
      <c r="I44" s="50" t="s">
        <v>240</v>
      </c>
      <c r="J44" s="59" t="s">
        <v>145</v>
      </c>
      <c r="K44" s="294" t="s">
        <v>800</v>
      </c>
      <c r="L44" s="60" t="s">
        <v>78</v>
      </c>
      <c r="M44" s="61">
        <v>16</v>
      </c>
      <c r="Q44" s="72" t="s">
        <v>240</v>
      </c>
      <c r="R44" s="84"/>
      <c r="S44" s="85"/>
      <c r="T44" s="86"/>
      <c r="U44" s="87"/>
    </row>
    <row r="45" spans="1:21">
      <c r="A45" s="25" t="s">
        <v>240</v>
      </c>
      <c r="B45" s="35"/>
      <c r="C45" s="36"/>
      <c r="D45" s="37"/>
      <c r="E45" s="38"/>
      <c r="I45" s="50" t="s">
        <v>240</v>
      </c>
      <c r="J45" s="59" t="s">
        <v>753</v>
      </c>
      <c r="K45" s="59" t="s">
        <v>753</v>
      </c>
      <c r="L45" s="60" t="s">
        <v>753</v>
      </c>
      <c r="M45" s="61" t="s">
        <v>753</v>
      </c>
      <c r="Q45" s="72" t="s">
        <v>240</v>
      </c>
      <c r="R45" s="84"/>
      <c r="S45" s="85"/>
      <c r="T45" s="86"/>
      <c r="U45" s="87"/>
    </row>
    <row r="46" spans="1:21">
      <c r="A46" s="25" t="s">
        <v>240</v>
      </c>
      <c r="B46" s="35"/>
      <c r="C46" s="36"/>
      <c r="D46" s="37"/>
      <c r="E46" s="38"/>
      <c r="I46" s="50" t="s">
        <v>240</v>
      </c>
      <c r="J46" s="59" t="s">
        <v>753</v>
      </c>
      <c r="K46" s="59" t="s">
        <v>753</v>
      </c>
      <c r="L46" s="60" t="s">
        <v>753</v>
      </c>
      <c r="M46" s="61" t="s">
        <v>753</v>
      </c>
      <c r="Q46" s="72" t="s">
        <v>240</v>
      </c>
      <c r="R46" s="84"/>
      <c r="S46" s="85"/>
      <c r="T46" s="86"/>
      <c r="U46" s="87"/>
    </row>
    <row r="47" spans="1:21">
      <c r="A47" s="25" t="s">
        <v>240</v>
      </c>
      <c r="B47" s="35"/>
      <c r="C47" s="36"/>
      <c r="D47" s="37"/>
      <c r="E47" s="38"/>
      <c r="I47" s="50" t="s">
        <v>240</v>
      </c>
      <c r="J47" s="59" t="s">
        <v>753</v>
      </c>
      <c r="K47" s="59" t="s">
        <v>753</v>
      </c>
      <c r="L47" s="60" t="s">
        <v>753</v>
      </c>
      <c r="M47" s="61" t="s">
        <v>753</v>
      </c>
      <c r="Q47" s="72" t="s">
        <v>240</v>
      </c>
      <c r="R47" s="84"/>
      <c r="S47" s="85"/>
      <c r="T47" s="86"/>
      <c r="U47" s="87"/>
    </row>
    <row r="48" spans="1:21">
      <c r="A48" s="15"/>
      <c r="B48" s="31"/>
      <c r="C48" s="32"/>
      <c r="D48" s="33"/>
      <c r="E48" s="34"/>
      <c r="I48" s="62" t="s">
        <v>753</v>
      </c>
      <c r="J48" s="56" t="s">
        <v>753</v>
      </c>
      <c r="K48" s="56" t="s">
        <v>753</v>
      </c>
      <c r="L48" s="57" t="s">
        <v>753</v>
      </c>
      <c r="M48" s="58" t="s">
        <v>753</v>
      </c>
      <c r="Q48" s="42"/>
      <c r="R48" s="80"/>
      <c r="S48" s="81"/>
      <c r="T48" s="82"/>
      <c r="U48" s="83"/>
    </row>
    <row r="49" spans="1:21">
      <c r="A49" s="15"/>
      <c r="B49" s="31"/>
      <c r="C49" s="32"/>
      <c r="D49" s="33"/>
      <c r="E49" s="34"/>
      <c r="I49" s="62" t="s">
        <v>753</v>
      </c>
      <c r="J49" s="56" t="s">
        <v>753</v>
      </c>
      <c r="K49" s="56" t="s">
        <v>753</v>
      </c>
      <c r="L49" s="57" t="s">
        <v>753</v>
      </c>
      <c r="M49" s="58" t="s">
        <v>753</v>
      </c>
      <c r="Q49" s="42"/>
      <c r="R49" s="80"/>
      <c r="S49" s="81"/>
      <c r="T49" s="82"/>
      <c r="U49" s="83"/>
    </row>
    <row r="50" spans="1:21">
      <c r="A50" s="20" t="s">
        <v>242</v>
      </c>
      <c r="B50" s="35"/>
      <c r="C50" s="36"/>
      <c r="D50" s="37"/>
      <c r="E50" s="38">
        <v>318</v>
      </c>
      <c r="I50" s="46" t="s">
        <v>242</v>
      </c>
      <c r="J50" s="59" t="s">
        <v>753</v>
      </c>
      <c r="K50" s="59" t="s">
        <v>753</v>
      </c>
      <c r="L50" s="60" t="s">
        <v>753</v>
      </c>
      <c r="M50" s="61">
        <v>327</v>
      </c>
      <c r="Q50" s="67" t="s">
        <v>242</v>
      </c>
      <c r="R50" s="84"/>
      <c r="S50" s="85"/>
      <c r="T50" s="86"/>
      <c r="U50" s="87">
        <v>249</v>
      </c>
    </row>
    <row r="51" spans="1:21">
      <c r="A51" s="20" t="s">
        <v>243</v>
      </c>
      <c r="B51" s="35"/>
      <c r="C51" s="36"/>
      <c r="D51" s="37"/>
      <c r="E51" s="38">
        <v>6</v>
      </c>
      <c r="I51" s="46" t="s">
        <v>243</v>
      </c>
      <c r="J51" s="59" t="s">
        <v>753</v>
      </c>
      <c r="K51" s="59" t="s">
        <v>753</v>
      </c>
      <c r="L51" s="60" t="s">
        <v>753</v>
      </c>
      <c r="M51" s="61">
        <v>8</v>
      </c>
      <c r="Q51" s="67" t="s">
        <v>243</v>
      </c>
      <c r="R51" s="84"/>
      <c r="S51" s="85"/>
      <c r="T51" s="86"/>
      <c r="U51" s="87">
        <v>4</v>
      </c>
    </row>
    <row r="53" spans="1:21" ht="45.75">
      <c r="A53" s="15"/>
      <c r="B53" s="16" t="s">
        <v>215</v>
      </c>
      <c r="C53" s="17" t="s">
        <v>216</v>
      </c>
      <c r="D53" s="18" t="s">
        <v>217</v>
      </c>
      <c r="E53" s="19" t="s">
        <v>218</v>
      </c>
      <c r="I53" s="42" t="s">
        <v>753</v>
      </c>
      <c r="J53" s="43" t="s">
        <v>215</v>
      </c>
      <c r="K53" s="43" t="s">
        <v>216</v>
      </c>
      <c r="L53" s="44" t="s">
        <v>217</v>
      </c>
      <c r="M53" s="45" t="s">
        <v>218</v>
      </c>
      <c r="Q53" s="42"/>
      <c r="R53" s="43" t="s">
        <v>215</v>
      </c>
      <c r="S53" s="65" t="s">
        <v>216</v>
      </c>
      <c r="T53" s="66" t="s">
        <v>217</v>
      </c>
      <c r="U53" s="45" t="s">
        <v>218</v>
      </c>
    </row>
    <row r="54" spans="1:21">
      <c r="A54" s="20" t="s">
        <v>219</v>
      </c>
      <c r="B54" s="21"/>
      <c r="C54" s="22"/>
      <c r="D54" s="23"/>
      <c r="E54" s="24"/>
      <c r="I54" s="46" t="s">
        <v>219</v>
      </c>
      <c r="J54" s="47" t="s">
        <v>753</v>
      </c>
      <c r="K54" s="47" t="s">
        <v>753</v>
      </c>
      <c r="L54" s="48" t="s">
        <v>753</v>
      </c>
      <c r="M54" s="49" t="s">
        <v>753</v>
      </c>
      <c r="Q54" s="67" t="s">
        <v>219</v>
      </c>
      <c r="R54" s="68"/>
      <c r="S54" s="69"/>
      <c r="T54" s="70"/>
      <c r="U54" s="71"/>
    </row>
    <row r="55" spans="1:21" ht="42" customHeight="1">
      <c r="A55" s="40"/>
      <c r="B55" s="26" t="s">
        <v>145</v>
      </c>
      <c r="C55" s="271" t="s">
        <v>805</v>
      </c>
      <c r="D55" s="28" t="s">
        <v>78</v>
      </c>
      <c r="E55" s="272">
        <v>140</v>
      </c>
      <c r="I55" s="64" t="s">
        <v>259</v>
      </c>
      <c r="J55" s="51" t="s">
        <v>145</v>
      </c>
      <c r="K55" s="292" t="s">
        <v>806</v>
      </c>
      <c r="L55" s="52" t="s">
        <v>78</v>
      </c>
      <c r="M55" s="53">
        <v>130</v>
      </c>
      <c r="Q55" s="88" t="s">
        <v>259</v>
      </c>
      <c r="R55" s="73" t="s">
        <v>145</v>
      </c>
      <c r="S55" s="256" t="s">
        <v>807</v>
      </c>
      <c r="T55" s="75" t="s">
        <v>127</v>
      </c>
      <c r="U55" s="76">
        <v>140</v>
      </c>
    </row>
    <row r="56" spans="1:21" ht="33" customHeight="1">
      <c r="A56" s="40" t="s">
        <v>261</v>
      </c>
      <c r="B56" s="26" t="s">
        <v>145</v>
      </c>
      <c r="C56" s="271" t="s">
        <v>808</v>
      </c>
      <c r="D56" s="28" t="s">
        <v>78</v>
      </c>
      <c r="E56" s="272">
        <v>130</v>
      </c>
      <c r="I56" s="64" t="s">
        <v>261</v>
      </c>
      <c r="J56" s="51" t="s">
        <v>145</v>
      </c>
      <c r="K56" s="293" t="s">
        <v>809</v>
      </c>
      <c r="L56" s="54" t="s">
        <v>78</v>
      </c>
      <c r="M56" s="53">
        <v>120</v>
      </c>
      <c r="Q56" s="88" t="s">
        <v>261</v>
      </c>
      <c r="R56" s="73" t="s">
        <v>145</v>
      </c>
      <c r="S56" s="257" t="s">
        <v>810</v>
      </c>
      <c r="T56" s="78" t="s">
        <v>127</v>
      </c>
      <c r="U56" s="76">
        <v>135</v>
      </c>
    </row>
    <row r="57" spans="1:21">
      <c r="A57" s="30"/>
      <c r="B57" s="31"/>
      <c r="C57" s="32"/>
      <c r="D57" s="33"/>
      <c r="E57" s="34"/>
      <c r="I57" s="55" t="s">
        <v>753</v>
      </c>
      <c r="J57" s="56" t="s">
        <v>753</v>
      </c>
      <c r="K57" s="56" t="s">
        <v>753</v>
      </c>
      <c r="L57" s="57" t="s">
        <v>753</v>
      </c>
      <c r="M57" s="58" t="s">
        <v>753</v>
      </c>
      <c r="Q57" s="79"/>
      <c r="R57" s="80"/>
      <c r="S57" s="81"/>
      <c r="T57" s="82"/>
      <c r="U57" s="83"/>
    </row>
    <row r="58" spans="1:21">
      <c r="A58" s="20" t="s">
        <v>234</v>
      </c>
      <c r="B58" s="31"/>
      <c r="C58" s="32"/>
      <c r="D58" s="33"/>
      <c r="E58" s="34"/>
      <c r="I58" s="46" t="s">
        <v>234</v>
      </c>
      <c r="J58" s="56" t="s">
        <v>753</v>
      </c>
      <c r="K58" s="56" t="s">
        <v>753</v>
      </c>
      <c r="L58" s="57" t="s">
        <v>753</v>
      </c>
      <c r="M58" s="58" t="s">
        <v>753</v>
      </c>
      <c r="Q58" s="67" t="s">
        <v>234</v>
      </c>
      <c r="R58" s="80"/>
      <c r="S58" s="81"/>
      <c r="T58" s="82"/>
      <c r="U58" s="83"/>
    </row>
    <row r="59" spans="1:21" ht="40.5" customHeight="1">
      <c r="A59" s="40" t="s">
        <v>261</v>
      </c>
      <c r="B59" s="35" t="s">
        <v>145</v>
      </c>
      <c r="C59" s="270" t="s">
        <v>811</v>
      </c>
      <c r="D59" s="37" t="s">
        <v>78</v>
      </c>
      <c r="E59" s="38">
        <v>70</v>
      </c>
      <c r="I59" s="64" t="s">
        <v>261</v>
      </c>
      <c r="J59" s="51" t="s">
        <v>145</v>
      </c>
      <c r="K59" s="293" t="s">
        <v>809</v>
      </c>
      <c r="L59" s="54" t="s">
        <v>78</v>
      </c>
      <c r="M59" s="53">
        <v>120</v>
      </c>
      <c r="Q59" s="88" t="s">
        <v>261</v>
      </c>
      <c r="R59" s="84"/>
      <c r="S59" s="85"/>
      <c r="T59" s="86"/>
      <c r="U59" s="87"/>
    </row>
    <row r="60" spans="1:21" ht="53.25" customHeight="1">
      <c r="A60" s="40" t="s">
        <v>261</v>
      </c>
      <c r="B60" s="35"/>
      <c r="C60" s="36"/>
      <c r="D60" s="37"/>
      <c r="E60" s="38"/>
      <c r="I60" s="64" t="s">
        <v>261</v>
      </c>
      <c r="J60" s="59" t="s">
        <v>753</v>
      </c>
      <c r="K60" s="59" t="s">
        <v>753</v>
      </c>
      <c r="L60" s="60" t="s">
        <v>753</v>
      </c>
      <c r="M60" s="61" t="s">
        <v>753</v>
      </c>
      <c r="Q60" s="88" t="s">
        <v>261</v>
      </c>
      <c r="R60" s="84"/>
      <c r="S60" s="85"/>
      <c r="T60" s="86"/>
      <c r="U60" s="87"/>
    </row>
    <row r="61" spans="1:21" ht="39.75" customHeight="1">
      <c r="A61" s="40" t="s">
        <v>261</v>
      </c>
      <c r="B61" s="35"/>
      <c r="C61" s="36"/>
      <c r="D61" s="37"/>
      <c r="E61" s="38"/>
      <c r="I61" s="64" t="s">
        <v>261</v>
      </c>
      <c r="J61" s="59" t="s">
        <v>753</v>
      </c>
      <c r="K61" s="59" t="s">
        <v>753</v>
      </c>
      <c r="L61" s="60" t="s">
        <v>753</v>
      </c>
      <c r="M61" s="61" t="s">
        <v>753</v>
      </c>
      <c r="Q61" s="88" t="s">
        <v>261</v>
      </c>
      <c r="R61" s="84"/>
      <c r="S61" s="85"/>
      <c r="T61" s="86"/>
      <c r="U61" s="87"/>
    </row>
    <row r="62" spans="1:21">
      <c r="A62" s="15"/>
      <c r="B62" s="31"/>
      <c r="C62" s="32"/>
      <c r="D62" s="33"/>
      <c r="E62" s="34"/>
      <c r="I62" s="62" t="s">
        <v>753</v>
      </c>
      <c r="J62" s="56" t="s">
        <v>753</v>
      </c>
      <c r="K62" s="56" t="s">
        <v>753</v>
      </c>
      <c r="L62" s="57" t="s">
        <v>753</v>
      </c>
      <c r="M62" s="58" t="s">
        <v>753</v>
      </c>
      <c r="Q62" s="42"/>
      <c r="R62" s="80"/>
      <c r="S62" s="81"/>
      <c r="T62" s="82"/>
      <c r="U62" s="83"/>
    </row>
    <row r="63" spans="1:21">
      <c r="A63" s="15"/>
      <c r="B63" s="31"/>
      <c r="C63" s="32"/>
      <c r="D63" s="33"/>
      <c r="E63" s="34"/>
      <c r="I63" s="62" t="s">
        <v>753</v>
      </c>
      <c r="J63" s="56" t="s">
        <v>753</v>
      </c>
      <c r="K63" s="56" t="s">
        <v>753</v>
      </c>
      <c r="L63" s="57" t="s">
        <v>753</v>
      </c>
      <c r="M63" s="58" t="s">
        <v>753</v>
      </c>
      <c r="Q63" s="42"/>
      <c r="R63" s="80"/>
      <c r="S63" s="81"/>
      <c r="T63" s="82"/>
      <c r="U63" s="83"/>
    </row>
    <row r="64" spans="1:21">
      <c r="A64" s="20" t="s">
        <v>242</v>
      </c>
      <c r="B64" s="35"/>
      <c r="C64" s="36"/>
      <c r="D64" s="37"/>
      <c r="E64" s="38">
        <v>340</v>
      </c>
      <c r="I64" s="46" t="s">
        <v>242</v>
      </c>
      <c r="J64" s="59" t="s">
        <v>753</v>
      </c>
      <c r="K64" s="59" t="s">
        <v>753</v>
      </c>
      <c r="L64" s="60" t="s">
        <v>753</v>
      </c>
      <c r="M64" s="61">
        <v>370</v>
      </c>
      <c r="Q64" s="67" t="s">
        <v>242</v>
      </c>
      <c r="R64" s="84"/>
      <c r="S64" s="85"/>
      <c r="T64" s="86"/>
      <c r="U64" s="87">
        <v>275</v>
      </c>
    </row>
    <row r="65" spans="1:21">
      <c r="A65" s="20" t="s">
        <v>243</v>
      </c>
      <c r="B65" s="35"/>
      <c r="C65" s="36"/>
      <c r="D65" s="37"/>
      <c r="E65" s="38">
        <v>3</v>
      </c>
      <c r="I65" s="46" t="s">
        <v>243</v>
      </c>
      <c r="J65" s="59" t="s">
        <v>753</v>
      </c>
      <c r="K65" s="59" t="s">
        <v>753</v>
      </c>
      <c r="L65" s="60" t="s">
        <v>753</v>
      </c>
      <c r="M65" s="61">
        <v>3</v>
      </c>
      <c r="Q65" s="67" t="s">
        <v>243</v>
      </c>
      <c r="R65" s="84"/>
      <c r="S65" s="85"/>
      <c r="T65" s="86"/>
      <c r="U65" s="87">
        <v>2</v>
      </c>
    </row>
    <row r="67" spans="1:21" ht="45.75">
      <c r="A67" s="15"/>
      <c r="B67" s="16" t="s">
        <v>215</v>
      </c>
      <c r="C67" s="17" t="s">
        <v>216</v>
      </c>
      <c r="D67" s="18" t="s">
        <v>217</v>
      </c>
      <c r="E67" s="19" t="s">
        <v>218</v>
      </c>
      <c r="I67" s="15"/>
      <c r="J67" s="16" t="s">
        <v>215</v>
      </c>
      <c r="K67" s="17" t="s">
        <v>216</v>
      </c>
      <c r="L67" s="18" t="s">
        <v>217</v>
      </c>
      <c r="M67" s="19" t="s">
        <v>218</v>
      </c>
      <c r="Q67" s="42"/>
      <c r="R67" s="43" t="s">
        <v>215</v>
      </c>
      <c r="S67" s="65" t="s">
        <v>216</v>
      </c>
      <c r="T67" s="66" t="s">
        <v>217</v>
      </c>
      <c r="U67" s="45" t="s">
        <v>218</v>
      </c>
    </row>
    <row r="68" spans="1:21">
      <c r="A68" s="20" t="s">
        <v>219</v>
      </c>
      <c r="B68" s="21"/>
      <c r="C68" s="22"/>
      <c r="D68" s="23"/>
      <c r="E68" s="24"/>
      <c r="I68" s="20" t="s">
        <v>219</v>
      </c>
      <c r="J68" s="21"/>
      <c r="K68" s="22"/>
      <c r="L68" s="23"/>
      <c r="M68" s="24"/>
      <c r="Q68" s="67" t="s">
        <v>219</v>
      </c>
      <c r="R68" s="68"/>
      <c r="S68" s="69"/>
      <c r="T68" s="70"/>
      <c r="U68" s="71"/>
    </row>
    <row r="69" spans="1:21" ht="30.75">
      <c r="A69" s="25" t="s">
        <v>220</v>
      </c>
      <c r="B69" s="26" t="s">
        <v>100</v>
      </c>
      <c r="C69" s="268" t="s">
        <v>786</v>
      </c>
      <c r="D69" s="28" t="s">
        <v>78</v>
      </c>
      <c r="E69" s="29">
        <v>21</v>
      </c>
      <c r="I69" s="25" t="s">
        <v>220</v>
      </c>
      <c r="J69" s="26" t="s">
        <v>100</v>
      </c>
      <c r="K69" s="268" t="s">
        <v>786</v>
      </c>
      <c r="L69" s="28" t="s">
        <v>78</v>
      </c>
      <c r="M69" s="29">
        <v>21</v>
      </c>
      <c r="Q69" s="72" t="s">
        <v>220</v>
      </c>
      <c r="R69" s="73" t="s">
        <v>100</v>
      </c>
      <c r="S69" s="256" t="s">
        <v>812</v>
      </c>
      <c r="T69" s="75" t="s">
        <v>127</v>
      </c>
      <c r="U69" s="76">
        <v>21</v>
      </c>
    </row>
    <row r="70" spans="1:21">
      <c r="A70" s="25" t="s">
        <v>250</v>
      </c>
      <c r="B70" s="26" t="s">
        <v>145</v>
      </c>
      <c r="C70" s="273" t="s">
        <v>813</v>
      </c>
      <c r="D70" s="28" t="s">
        <v>78</v>
      </c>
      <c r="E70" s="29">
        <v>50</v>
      </c>
      <c r="I70" s="25" t="s">
        <v>250</v>
      </c>
      <c r="J70" s="26" t="s">
        <v>145</v>
      </c>
      <c r="K70" s="273" t="s">
        <v>813</v>
      </c>
      <c r="L70" s="28" t="s">
        <v>78</v>
      </c>
      <c r="M70" s="29">
        <v>50</v>
      </c>
      <c r="Q70" s="72" t="s">
        <v>250</v>
      </c>
      <c r="R70" s="73" t="s">
        <v>145</v>
      </c>
      <c r="S70" s="267" t="s">
        <v>814</v>
      </c>
      <c r="T70" s="78" t="s">
        <v>127</v>
      </c>
      <c r="U70" s="76">
        <v>50</v>
      </c>
    </row>
    <row r="71" spans="1:21">
      <c r="A71" s="30"/>
      <c r="B71" s="31"/>
      <c r="C71" s="32"/>
      <c r="D71" s="33"/>
      <c r="E71" s="34"/>
      <c r="I71" s="30"/>
      <c r="J71" s="31"/>
      <c r="K71" s="32"/>
      <c r="L71" s="33"/>
      <c r="M71" s="34"/>
      <c r="Q71" s="79"/>
      <c r="R71" s="80"/>
      <c r="S71" s="81"/>
      <c r="T71" s="82"/>
      <c r="U71" s="83"/>
    </row>
    <row r="72" spans="1:21">
      <c r="A72" s="20" t="s">
        <v>234</v>
      </c>
      <c r="B72" s="31"/>
      <c r="C72" s="32"/>
      <c r="D72" s="33"/>
      <c r="E72" s="34"/>
      <c r="I72" s="20" t="s">
        <v>234</v>
      </c>
      <c r="J72" s="31"/>
      <c r="K72" s="32"/>
      <c r="L72" s="33"/>
      <c r="M72" s="34"/>
      <c r="Q72" s="67" t="s">
        <v>234</v>
      </c>
      <c r="R72" s="80"/>
      <c r="S72" s="81"/>
      <c r="T72" s="82"/>
      <c r="U72" s="83"/>
    </row>
    <row r="73" spans="1:21">
      <c r="A73" s="25" t="s">
        <v>250</v>
      </c>
      <c r="B73" s="35" t="s">
        <v>145</v>
      </c>
      <c r="C73" s="273" t="s">
        <v>813</v>
      </c>
      <c r="D73" s="37" t="s">
        <v>78</v>
      </c>
      <c r="E73" s="38">
        <v>50</v>
      </c>
      <c r="I73" s="25" t="s">
        <v>250</v>
      </c>
      <c r="J73" s="35" t="s">
        <v>145</v>
      </c>
      <c r="K73" s="273" t="s">
        <v>813</v>
      </c>
      <c r="L73" s="37" t="s">
        <v>78</v>
      </c>
      <c r="M73" s="38">
        <v>50</v>
      </c>
      <c r="Q73" s="72" t="s">
        <v>250</v>
      </c>
      <c r="R73" s="84" t="s">
        <v>145</v>
      </c>
      <c r="S73" s="125" t="s">
        <v>815</v>
      </c>
      <c r="T73" s="89" t="s">
        <v>127</v>
      </c>
      <c r="U73" s="87">
        <v>45</v>
      </c>
    </row>
    <row r="74" spans="1:21">
      <c r="A74" s="25" t="s">
        <v>250</v>
      </c>
      <c r="B74" s="35"/>
      <c r="C74" s="36"/>
      <c r="D74" s="37"/>
      <c r="E74" s="38"/>
      <c r="I74" s="25" t="s">
        <v>250</v>
      </c>
      <c r="J74" s="35"/>
      <c r="K74" s="36"/>
      <c r="L74" s="37"/>
      <c r="M74" s="38"/>
      <c r="Q74" s="72" t="s">
        <v>250</v>
      </c>
      <c r="R74" s="84"/>
      <c r="S74" s="85"/>
      <c r="T74" s="86"/>
      <c r="U74" s="87"/>
    </row>
    <row r="75" spans="1:21">
      <c r="A75" s="25" t="s">
        <v>250</v>
      </c>
      <c r="B75" s="35"/>
      <c r="C75" s="36"/>
      <c r="D75" s="37"/>
      <c r="E75" s="38"/>
      <c r="I75" s="25" t="s">
        <v>250</v>
      </c>
      <c r="J75" s="35"/>
      <c r="K75" s="36"/>
      <c r="L75" s="37"/>
      <c r="M75" s="38"/>
      <c r="Q75" s="72" t="s">
        <v>250</v>
      </c>
      <c r="R75" s="84"/>
      <c r="S75" s="85"/>
      <c r="T75" s="86"/>
      <c r="U75" s="87"/>
    </row>
    <row r="76" spans="1:21">
      <c r="A76" s="25" t="s">
        <v>271</v>
      </c>
      <c r="B76" s="35"/>
      <c r="C76" s="36"/>
      <c r="D76" s="37"/>
      <c r="E76" s="38"/>
      <c r="I76" s="25" t="s">
        <v>271</v>
      </c>
      <c r="J76" s="35"/>
      <c r="K76" s="36"/>
      <c r="L76" s="37"/>
      <c r="M76" s="38"/>
      <c r="Q76" s="72" t="s">
        <v>271</v>
      </c>
      <c r="R76" s="84"/>
      <c r="S76" s="85"/>
      <c r="T76" s="86"/>
      <c r="U76" s="87"/>
    </row>
    <row r="77" spans="1:21">
      <c r="A77" s="25" t="s">
        <v>271</v>
      </c>
      <c r="B77" s="35"/>
      <c r="C77" s="36"/>
      <c r="D77" s="37"/>
      <c r="E77" s="38"/>
      <c r="I77" s="25" t="s">
        <v>271</v>
      </c>
      <c r="J77" s="35"/>
      <c r="K77" s="36"/>
      <c r="L77" s="37"/>
      <c r="M77" s="38"/>
      <c r="Q77" s="72" t="s">
        <v>271</v>
      </c>
      <c r="R77" s="84"/>
      <c r="S77" s="85"/>
      <c r="T77" s="86"/>
      <c r="U77" s="87"/>
    </row>
    <row r="78" spans="1:21">
      <c r="A78" s="25" t="s">
        <v>271</v>
      </c>
      <c r="B78" s="35"/>
      <c r="C78" s="36"/>
      <c r="D78" s="37"/>
      <c r="E78" s="38"/>
      <c r="I78" s="25" t="s">
        <v>271</v>
      </c>
      <c r="J78" s="35"/>
      <c r="K78" s="36"/>
      <c r="L78" s="37"/>
      <c r="M78" s="38"/>
      <c r="Q78" s="72" t="s">
        <v>271</v>
      </c>
      <c r="R78" s="84"/>
      <c r="S78" s="85"/>
      <c r="T78" s="86"/>
      <c r="U78" s="87"/>
    </row>
    <row r="79" spans="1:21">
      <c r="A79" s="25" t="s">
        <v>271</v>
      </c>
      <c r="B79" s="35"/>
      <c r="C79" s="36"/>
      <c r="D79" s="37"/>
      <c r="E79" s="38"/>
      <c r="I79" s="25" t="s">
        <v>271</v>
      </c>
      <c r="J79" s="35"/>
      <c r="K79" s="36"/>
      <c r="L79" s="37"/>
      <c r="M79" s="38"/>
      <c r="Q79" s="72" t="s">
        <v>271</v>
      </c>
      <c r="R79" s="84"/>
      <c r="S79" s="85"/>
      <c r="T79" s="86"/>
      <c r="U79" s="87"/>
    </row>
    <row r="80" spans="1:21">
      <c r="A80" s="15"/>
      <c r="B80" s="31"/>
      <c r="C80" s="32"/>
      <c r="D80" s="33"/>
      <c r="E80" s="34"/>
      <c r="I80" s="15"/>
      <c r="J80" s="31"/>
      <c r="K80" s="32"/>
      <c r="L80" s="33"/>
      <c r="M80" s="34"/>
      <c r="Q80" s="42"/>
      <c r="R80" s="80"/>
      <c r="S80" s="81"/>
      <c r="T80" s="82"/>
      <c r="U80" s="83"/>
    </row>
    <row r="81" spans="1:21">
      <c r="A81" s="15"/>
      <c r="B81" s="31"/>
      <c r="C81" s="32"/>
      <c r="D81" s="33"/>
      <c r="E81" s="34"/>
      <c r="I81" s="15"/>
      <c r="J81" s="31"/>
      <c r="K81" s="32"/>
      <c r="L81" s="33"/>
      <c r="M81" s="34"/>
      <c r="Q81" s="42"/>
      <c r="R81" s="80"/>
      <c r="S81" s="81"/>
      <c r="T81" s="82"/>
      <c r="U81" s="83"/>
    </row>
    <row r="82" spans="1:21">
      <c r="A82" s="20" t="s">
        <v>242</v>
      </c>
      <c r="B82" s="35"/>
      <c r="C82" s="36"/>
      <c r="D82" s="37"/>
      <c r="E82" s="38">
        <v>121</v>
      </c>
      <c r="I82" s="20" t="s">
        <v>242</v>
      </c>
      <c r="J82" s="35"/>
      <c r="K82" s="36"/>
      <c r="L82" s="37"/>
      <c r="M82" s="38">
        <v>121</v>
      </c>
      <c r="Q82" s="67" t="s">
        <v>242</v>
      </c>
      <c r="R82" s="84"/>
      <c r="S82" s="85"/>
      <c r="T82" s="86"/>
      <c r="U82" s="87">
        <v>116</v>
      </c>
    </row>
    <row r="83" spans="1:21">
      <c r="A83" s="20" t="s">
        <v>243</v>
      </c>
      <c r="B83" s="35"/>
      <c r="C83" s="36"/>
      <c r="D83" s="37"/>
      <c r="E83" s="38">
        <v>3</v>
      </c>
      <c r="I83" s="20" t="s">
        <v>243</v>
      </c>
      <c r="J83" s="35"/>
      <c r="K83" s="36"/>
      <c r="L83" s="37"/>
      <c r="M83" s="38">
        <v>3</v>
      </c>
      <c r="Q83" s="67" t="s">
        <v>243</v>
      </c>
      <c r="R83" s="84"/>
      <c r="S83" s="85"/>
      <c r="T83" s="86"/>
      <c r="U83" s="87">
        <v>3</v>
      </c>
    </row>
    <row r="87" spans="1:21" ht="30.75">
      <c r="A87" s="97"/>
      <c r="B87" s="98"/>
      <c r="C87" s="99" t="s">
        <v>274</v>
      </c>
      <c r="I87" s="90"/>
      <c r="J87" s="91"/>
      <c r="K87" s="92" t="s">
        <v>274</v>
      </c>
      <c r="Q87" s="90"/>
      <c r="R87" s="91"/>
      <c r="S87" s="92" t="s">
        <v>274</v>
      </c>
    </row>
    <row r="88" spans="1:21">
      <c r="A88" s="20" t="s">
        <v>816</v>
      </c>
      <c r="B88" s="26" t="s">
        <v>38</v>
      </c>
      <c r="C88" s="32"/>
      <c r="I88" s="67" t="s">
        <v>817</v>
      </c>
      <c r="J88" s="73" t="s">
        <v>38</v>
      </c>
      <c r="K88" s="81"/>
      <c r="Q88" s="67" t="s">
        <v>817</v>
      </c>
      <c r="R88" s="73" t="s">
        <v>38</v>
      </c>
      <c r="S88" s="81"/>
    </row>
    <row r="89" spans="1:21">
      <c r="A89" s="20" t="s">
        <v>818</v>
      </c>
      <c r="B89" s="26" t="s">
        <v>783</v>
      </c>
      <c r="C89" s="32"/>
      <c r="I89" s="67" t="s">
        <v>819</v>
      </c>
      <c r="J89" s="73" t="s">
        <v>784</v>
      </c>
      <c r="K89" s="81"/>
      <c r="Q89" s="67" t="s">
        <v>529</v>
      </c>
      <c r="R89" s="73" t="s">
        <v>785</v>
      </c>
      <c r="S89" s="81"/>
    </row>
    <row r="90" spans="1:21">
      <c r="A90" s="20" t="s">
        <v>820</v>
      </c>
      <c r="B90" s="26">
        <v>3</v>
      </c>
      <c r="C90" s="32"/>
      <c r="I90" s="67" t="s">
        <v>821</v>
      </c>
      <c r="J90" s="73">
        <v>2</v>
      </c>
      <c r="K90" s="81"/>
      <c r="Q90" s="67" t="s">
        <v>821</v>
      </c>
      <c r="R90" s="73">
        <v>1</v>
      </c>
      <c r="S90" s="81"/>
    </row>
    <row r="91" spans="1:21">
      <c r="A91" s="20" t="s">
        <v>822</v>
      </c>
      <c r="B91" s="26" t="s">
        <v>746</v>
      </c>
      <c r="C91" s="32"/>
      <c r="I91" s="67" t="s">
        <v>822</v>
      </c>
      <c r="J91" s="73" t="s">
        <v>35</v>
      </c>
      <c r="K91" s="81"/>
      <c r="Q91" s="67" t="s">
        <v>282</v>
      </c>
      <c r="R91" s="73" t="s">
        <v>32</v>
      </c>
      <c r="S91" s="81"/>
    </row>
    <row r="92" spans="1:21">
      <c r="A92" s="100"/>
      <c r="B92" s="31"/>
      <c r="C92" s="32"/>
      <c r="I92" s="93"/>
      <c r="J92" s="80"/>
      <c r="K92" s="81"/>
      <c r="Q92" s="93"/>
      <c r="R92" s="80"/>
      <c r="S92" s="81"/>
    </row>
    <row r="93" spans="1:21">
      <c r="A93" s="94" t="s">
        <v>284</v>
      </c>
      <c r="B93" s="94"/>
      <c r="C93" s="94"/>
      <c r="I93" s="94" t="s">
        <v>284</v>
      </c>
      <c r="J93" s="94"/>
      <c r="K93" s="94"/>
      <c r="Q93" s="94" t="s">
        <v>284</v>
      </c>
      <c r="R93" s="94"/>
      <c r="S93" s="94"/>
    </row>
    <row r="94" spans="1:21">
      <c r="A94" s="94"/>
      <c r="B94" s="94" t="s">
        <v>285</v>
      </c>
      <c r="C94" s="94" t="s">
        <v>15</v>
      </c>
      <c r="I94" s="94"/>
      <c r="J94" s="94" t="s">
        <v>285</v>
      </c>
      <c r="K94" s="94" t="s">
        <v>15</v>
      </c>
      <c r="Q94" s="94"/>
      <c r="R94" s="94" t="s">
        <v>285</v>
      </c>
      <c r="S94" s="94" t="s">
        <v>15</v>
      </c>
    </row>
    <row r="95" spans="1:21">
      <c r="A95" s="95" t="s">
        <v>393</v>
      </c>
      <c r="B95" s="95">
        <v>0</v>
      </c>
      <c r="C95" s="95">
        <v>0</v>
      </c>
      <c r="I95" s="95" t="s">
        <v>393</v>
      </c>
      <c r="J95" s="95">
        <v>0</v>
      </c>
      <c r="K95" s="95">
        <v>0</v>
      </c>
      <c r="Q95" s="95" t="s">
        <v>393</v>
      </c>
      <c r="R95" s="95">
        <v>0</v>
      </c>
      <c r="S95" s="95">
        <v>0</v>
      </c>
    </row>
    <row r="96" spans="1:21">
      <c r="A96" s="96" t="s">
        <v>286</v>
      </c>
      <c r="B96" s="96">
        <v>318</v>
      </c>
      <c r="C96" s="96">
        <v>6</v>
      </c>
      <c r="I96" s="96" t="s">
        <v>286</v>
      </c>
      <c r="J96" s="96">
        <v>402</v>
      </c>
      <c r="K96" s="96">
        <v>9</v>
      </c>
      <c r="Q96" s="96" t="s">
        <v>286</v>
      </c>
      <c r="R96" s="96">
        <f>U25</f>
        <v>460</v>
      </c>
      <c r="S96" s="96">
        <v>7</v>
      </c>
    </row>
    <row r="97" spans="1:19">
      <c r="A97" s="96" t="s">
        <v>287</v>
      </c>
      <c r="B97" s="96">
        <v>318</v>
      </c>
      <c r="C97" s="96">
        <v>6</v>
      </c>
      <c r="I97" s="96" t="s">
        <v>287</v>
      </c>
      <c r="J97" s="96">
        <v>327</v>
      </c>
      <c r="K97" s="96">
        <v>8</v>
      </c>
      <c r="Q97" s="96" t="s">
        <v>287</v>
      </c>
      <c r="R97" s="96">
        <f>U50</f>
        <v>249</v>
      </c>
      <c r="S97" s="96">
        <v>4</v>
      </c>
    </row>
    <row r="98" spans="1:19">
      <c r="A98" s="96" t="s">
        <v>289</v>
      </c>
      <c r="B98" s="96"/>
      <c r="C98" s="96"/>
      <c r="I98" s="96" t="s">
        <v>289</v>
      </c>
      <c r="J98" s="96">
        <v>0</v>
      </c>
      <c r="K98" s="96">
        <v>0</v>
      </c>
      <c r="Q98" s="96" t="s">
        <v>289</v>
      </c>
      <c r="R98" s="96">
        <v>0</v>
      </c>
      <c r="S98" s="96">
        <v>0</v>
      </c>
    </row>
    <row r="99" spans="1:19">
      <c r="A99" s="96" t="s">
        <v>396</v>
      </c>
      <c r="B99" s="96"/>
      <c r="C99" s="96"/>
      <c r="I99" s="96" t="s">
        <v>396</v>
      </c>
      <c r="J99" s="96">
        <v>0</v>
      </c>
      <c r="K99" s="96">
        <v>0</v>
      </c>
      <c r="Q99" s="96" t="s">
        <v>396</v>
      </c>
      <c r="R99" s="96">
        <v>0</v>
      </c>
      <c r="S99" s="96">
        <v>0</v>
      </c>
    </row>
    <row r="100" spans="1:19">
      <c r="A100" s="95" t="s">
        <v>397</v>
      </c>
      <c r="B100" s="96"/>
      <c r="C100" s="96"/>
      <c r="I100" s="95" t="s">
        <v>397</v>
      </c>
      <c r="J100" s="96">
        <v>0</v>
      </c>
      <c r="K100" s="96">
        <v>0</v>
      </c>
      <c r="Q100" s="95" t="s">
        <v>397</v>
      </c>
      <c r="R100" s="96">
        <v>0</v>
      </c>
      <c r="S100" s="96">
        <v>0</v>
      </c>
    </row>
    <row r="101" spans="1:19">
      <c r="A101" s="95" t="s">
        <v>291</v>
      </c>
      <c r="B101" s="96"/>
      <c r="C101" s="96"/>
      <c r="I101" s="95" t="s">
        <v>291</v>
      </c>
      <c r="J101" s="96">
        <v>0</v>
      </c>
      <c r="K101" s="96">
        <v>0</v>
      </c>
      <c r="Q101" s="95" t="s">
        <v>291</v>
      </c>
      <c r="R101" s="96">
        <v>0</v>
      </c>
      <c r="S101" s="96">
        <v>0</v>
      </c>
    </row>
    <row r="102" spans="1:19">
      <c r="A102" s="95" t="s">
        <v>288</v>
      </c>
      <c r="B102" s="96">
        <v>121</v>
      </c>
      <c r="C102" s="96">
        <v>3</v>
      </c>
      <c r="I102" s="95" t="s">
        <v>288</v>
      </c>
      <c r="J102" s="96">
        <v>0</v>
      </c>
      <c r="K102" s="96">
        <v>0</v>
      </c>
      <c r="Q102" s="95" t="s">
        <v>288</v>
      </c>
      <c r="R102" s="96">
        <f>U82</f>
        <v>116</v>
      </c>
      <c r="S102" s="96">
        <v>3</v>
      </c>
    </row>
    <row r="103" spans="1:19">
      <c r="A103" s="95" t="s">
        <v>398</v>
      </c>
      <c r="B103" s="96"/>
      <c r="C103" s="96"/>
      <c r="I103" s="95" t="s">
        <v>398</v>
      </c>
      <c r="J103" s="96">
        <v>0</v>
      </c>
      <c r="K103" s="96">
        <v>0</v>
      </c>
      <c r="Q103" s="95" t="s">
        <v>398</v>
      </c>
      <c r="R103" s="96">
        <v>0</v>
      </c>
      <c r="S103" s="96">
        <v>0</v>
      </c>
    </row>
    <row r="104" spans="1:19">
      <c r="A104" s="95" t="s">
        <v>290</v>
      </c>
      <c r="B104" s="96">
        <v>340</v>
      </c>
      <c r="C104" s="96">
        <v>3</v>
      </c>
      <c r="I104" s="95" t="s">
        <v>290</v>
      </c>
      <c r="J104" s="96">
        <v>370</v>
      </c>
      <c r="K104" s="96">
        <v>3</v>
      </c>
      <c r="Q104" s="95" t="s">
        <v>290</v>
      </c>
      <c r="R104" s="96">
        <f>U64</f>
        <v>275</v>
      </c>
      <c r="S104" s="96">
        <v>2</v>
      </c>
    </row>
    <row r="105" spans="1:19">
      <c r="A105" s="95" t="s">
        <v>399</v>
      </c>
      <c r="B105" s="96"/>
      <c r="C105" s="96"/>
      <c r="I105" s="95" t="s">
        <v>399</v>
      </c>
      <c r="J105" s="96">
        <v>0</v>
      </c>
      <c r="K105" s="96">
        <v>0</v>
      </c>
      <c r="Q105" s="95" t="s">
        <v>399</v>
      </c>
      <c r="R105" s="96">
        <v>0</v>
      </c>
      <c r="S105" s="96">
        <v>0</v>
      </c>
    </row>
    <row r="106" spans="1:19">
      <c r="A106" s="95" t="s">
        <v>400</v>
      </c>
      <c r="B106" s="96"/>
      <c r="C106" s="96"/>
      <c r="I106" s="95" t="s">
        <v>400</v>
      </c>
      <c r="J106" s="96">
        <v>0</v>
      </c>
      <c r="K106" s="96">
        <v>0</v>
      </c>
      <c r="Q106" s="95" t="s">
        <v>400</v>
      </c>
      <c r="R106" s="96">
        <v>0</v>
      </c>
      <c r="S106" s="96">
        <v>0</v>
      </c>
    </row>
    <row r="107" spans="1:19">
      <c r="A107" s="95" t="s">
        <v>400</v>
      </c>
      <c r="B107" s="96"/>
      <c r="C107" s="96"/>
      <c r="I107" s="95" t="s">
        <v>400</v>
      </c>
      <c r="J107" s="96">
        <v>0</v>
      </c>
      <c r="K107" s="96">
        <v>0</v>
      </c>
      <c r="Q107" s="95" t="s">
        <v>400</v>
      </c>
      <c r="R107" s="96">
        <v>0</v>
      </c>
      <c r="S107" s="96">
        <v>0</v>
      </c>
    </row>
    <row r="108" spans="1:19">
      <c r="A108" s="96"/>
      <c r="B108" s="94">
        <f>SUM(B95:B107)</f>
        <v>1097</v>
      </c>
      <c r="C108" s="94">
        <f>SUM(C95:C107)</f>
        <v>18</v>
      </c>
      <c r="I108" s="96"/>
      <c r="J108" s="94">
        <v>1099</v>
      </c>
      <c r="K108" s="94">
        <v>20</v>
      </c>
      <c r="Q108" s="96"/>
      <c r="R108" s="94">
        <f>SUM(R95:R107)</f>
        <v>1100</v>
      </c>
      <c r="S108" s="94">
        <v>16</v>
      </c>
    </row>
  </sheetData>
  <pageMargins left="0.7" right="0.7" top="0.75" bottom="0.75" header="0.3" footer="0.3"/>
  <pageSetup paperSize="9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3052-1D00-4CDF-BC4B-23D3CD162B3F}">
  <dimension ref="A2:AK239"/>
  <sheetViews>
    <sheetView workbookViewId="0">
      <selection activeCell="G26" sqref="G26:G28"/>
    </sheetView>
  </sheetViews>
  <sheetFormatPr defaultRowHeight="15"/>
  <sheetData>
    <row r="2" spans="1:37">
      <c r="C2" t="s">
        <v>823</v>
      </c>
    </row>
    <row r="5" spans="1:37">
      <c r="A5" t="s">
        <v>66</v>
      </c>
      <c r="B5" t="s">
        <v>824</v>
      </c>
      <c r="D5" t="s">
        <v>180</v>
      </c>
      <c r="I5" t="s">
        <v>136</v>
      </c>
      <c r="J5" t="s">
        <v>160</v>
      </c>
      <c r="K5" t="s">
        <v>142</v>
      </c>
      <c r="M5" t="s">
        <v>136</v>
      </c>
      <c r="N5" t="s">
        <v>160</v>
      </c>
      <c r="O5" t="s">
        <v>142</v>
      </c>
    </row>
    <row r="6" spans="1:37">
      <c r="A6" t="s">
        <v>84</v>
      </c>
      <c r="B6" t="s">
        <v>31</v>
      </c>
      <c r="D6">
        <v>3</v>
      </c>
      <c r="H6" t="s">
        <v>84</v>
      </c>
      <c r="I6">
        <v>12</v>
      </c>
      <c r="J6">
        <v>9</v>
      </c>
      <c r="K6">
        <v>17</v>
      </c>
      <c r="L6">
        <f>SUM(I6:K6)</f>
        <v>38</v>
      </c>
      <c r="M6" s="365">
        <f>I6/L6</f>
        <v>0.31578947368421051</v>
      </c>
      <c r="N6" s="365">
        <f>J6/L6</f>
        <v>0.23684210526315788</v>
      </c>
      <c r="O6" s="369">
        <f>K6/L6</f>
        <v>0.44736842105263158</v>
      </c>
      <c r="AB6" t="s">
        <v>136</v>
      </c>
      <c r="AC6" t="s">
        <v>137</v>
      </c>
      <c r="AD6" t="s">
        <v>32</v>
      </c>
      <c r="AE6" t="s">
        <v>138</v>
      </c>
      <c r="AF6" t="s">
        <v>33</v>
      </c>
      <c r="AH6">
        <v>1</v>
      </c>
      <c r="AI6">
        <v>1</v>
      </c>
    </row>
    <row r="7" spans="1:37">
      <c r="A7" t="s">
        <v>84</v>
      </c>
      <c r="B7" t="s">
        <v>33</v>
      </c>
      <c r="D7">
        <v>3</v>
      </c>
      <c r="H7" t="s">
        <v>825</v>
      </c>
      <c r="I7">
        <v>13</v>
      </c>
      <c r="J7">
        <v>1</v>
      </c>
      <c r="K7">
        <v>4</v>
      </c>
      <c r="L7">
        <f t="shared" ref="L7:L13" si="0">SUM(I7:K7)</f>
        <v>18</v>
      </c>
      <c r="M7" s="368">
        <f t="shared" ref="M7:M12" si="1">I7/L7</f>
        <v>0.72222222222222221</v>
      </c>
      <c r="N7" s="365">
        <f t="shared" ref="N7:N12" si="2">J7/L7</f>
        <v>5.5555555555555552E-2</v>
      </c>
      <c r="O7" s="365">
        <f t="shared" ref="O7:O12" si="3">K7/L7</f>
        <v>0.22222222222222221</v>
      </c>
      <c r="AB7" t="s">
        <v>148</v>
      </c>
      <c r="AC7" t="s">
        <v>149</v>
      </c>
      <c r="AD7" t="s">
        <v>31</v>
      </c>
      <c r="AE7" t="s">
        <v>150</v>
      </c>
      <c r="AF7" t="s">
        <v>32</v>
      </c>
      <c r="AH7">
        <v>1</v>
      </c>
      <c r="AI7">
        <v>1</v>
      </c>
    </row>
    <row r="8" spans="1:37">
      <c r="A8" t="s">
        <v>84</v>
      </c>
      <c r="B8" t="s">
        <v>33</v>
      </c>
      <c r="D8">
        <v>3</v>
      </c>
      <c r="H8" t="s">
        <v>31</v>
      </c>
      <c r="I8">
        <v>19</v>
      </c>
      <c r="J8">
        <v>10</v>
      </c>
      <c r="K8">
        <v>25</v>
      </c>
      <c r="L8">
        <f t="shared" si="0"/>
        <v>54</v>
      </c>
      <c r="M8" s="365">
        <f t="shared" si="1"/>
        <v>0.35185185185185186</v>
      </c>
      <c r="N8" s="365">
        <f t="shared" si="2"/>
        <v>0.18518518518518517</v>
      </c>
      <c r="O8" s="369">
        <f t="shared" si="3"/>
        <v>0.46296296296296297</v>
      </c>
      <c r="AB8" t="s">
        <v>75</v>
      </c>
      <c r="AC8" t="s">
        <v>154</v>
      </c>
      <c r="AD8" t="s">
        <v>30</v>
      </c>
      <c r="AE8" t="s">
        <v>150</v>
      </c>
      <c r="AF8" t="s">
        <v>32</v>
      </c>
      <c r="AH8">
        <v>0</v>
      </c>
      <c r="AI8">
        <v>3</v>
      </c>
      <c r="AJ8">
        <v>1</v>
      </c>
    </row>
    <row r="9" spans="1:37">
      <c r="A9" t="s">
        <v>84</v>
      </c>
      <c r="B9" t="s">
        <v>33</v>
      </c>
      <c r="D9">
        <v>3</v>
      </c>
      <c r="H9" t="s">
        <v>36</v>
      </c>
      <c r="I9">
        <v>5</v>
      </c>
      <c r="J9">
        <v>3</v>
      </c>
      <c r="K9">
        <v>4</v>
      </c>
      <c r="L9">
        <f t="shared" si="0"/>
        <v>12</v>
      </c>
      <c r="M9" s="365">
        <f t="shared" si="1"/>
        <v>0.41666666666666669</v>
      </c>
      <c r="N9" s="365">
        <f t="shared" si="2"/>
        <v>0.25</v>
      </c>
      <c r="O9" s="365">
        <f t="shared" si="3"/>
        <v>0.33333333333333331</v>
      </c>
      <c r="AB9" t="s">
        <v>88</v>
      </c>
      <c r="AC9" t="s">
        <v>95</v>
      </c>
      <c r="AD9" t="s">
        <v>31</v>
      </c>
      <c r="AE9" t="s">
        <v>138</v>
      </c>
      <c r="AF9" t="s">
        <v>33</v>
      </c>
      <c r="AH9">
        <v>3</v>
      </c>
      <c r="AI9">
        <v>0</v>
      </c>
      <c r="AJ9">
        <v>1</v>
      </c>
    </row>
    <row r="10" spans="1:37">
      <c r="A10" t="s">
        <v>84</v>
      </c>
      <c r="B10" t="s">
        <v>33</v>
      </c>
      <c r="D10">
        <v>3</v>
      </c>
      <c r="H10" t="s">
        <v>33</v>
      </c>
      <c r="I10">
        <v>5</v>
      </c>
      <c r="J10">
        <v>1</v>
      </c>
      <c r="K10">
        <v>12</v>
      </c>
      <c r="L10">
        <f t="shared" si="0"/>
        <v>18</v>
      </c>
      <c r="M10" s="365">
        <f t="shared" si="1"/>
        <v>0.27777777777777779</v>
      </c>
      <c r="N10" s="365">
        <f t="shared" si="2"/>
        <v>5.5555555555555552E-2</v>
      </c>
      <c r="O10" s="369">
        <f t="shared" si="3"/>
        <v>0.66666666666666663</v>
      </c>
      <c r="AB10" t="s">
        <v>100</v>
      </c>
      <c r="AC10" t="s">
        <v>107</v>
      </c>
      <c r="AD10" t="s">
        <v>84</v>
      </c>
      <c r="AE10" t="s">
        <v>182</v>
      </c>
      <c r="AF10" t="s">
        <v>30</v>
      </c>
      <c r="AH10">
        <v>0</v>
      </c>
      <c r="AI10">
        <v>3</v>
      </c>
      <c r="AJ10">
        <v>0</v>
      </c>
      <c r="AK10">
        <v>1</v>
      </c>
    </row>
    <row r="11" spans="1:37">
      <c r="A11" t="s">
        <v>84</v>
      </c>
      <c r="B11" t="s">
        <v>30</v>
      </c>
      <c r="D11">
        <v>3</v>
      </c>
      <c r="H11" t="s">
        <v>30</v>
      </c>
      <c r="I11">
        <v>21</v>
      </c>
      <c r="J11">
        <v>4</v>
      </c>
      <c r="K11">
        <v>25</v>
      </c>
      <c r="L11">
        <f t="shared" si="0"/>
        <v>50</v>
      </c>
      <c r="M11" s="365">
        <f t="shared" si="1"/>
        <v>0.42</v>
      </c>
      <c r="N11" s="365">
        <f t="shared" si="2"/>
        <v>0.08</v>
      </c>
      <c r="O11" s="365">
        <f t="shared" si="3"/>
        <v>0.5</v>
      </c>
      <c r="AB11" t="s">
        <v>118</v>
      </c>
      <c r="AC11" t="s">
        <v>125</v>
      </c>
      <c r="AD11" t="s">
        <v>30</v>
      </c>
      <c r="AE11" t="s">
        <v>96</v>
      </c>
      <c r="AF11" t="s">
        <v>31</v>
      </c>
      <c r="AH11">
        <v>3</v>
      </c>
      <c r="AI11">
        <v>0</v>
      </c>
      <c r="AJ11">
        <v>1</v>
      </c>
    </row>
    <row r="12" spans="1:37">
      <c r="A12" t="s">
        <v>84</v>
      </c>
      <c r="B12" t="s">
        <v>30</v>
      </c>
      <c r="D12">
        <v>3</v>
      </c>
      <c r="H12" t="s">
        <v>32</v>
      </c>
      <c r="I12">
        <v>24</v>
      </c>
      <c r="J12">
        <v>8</v>
      </c>
      <c r="K12">
        <v>12</v>
      </c>
      <c r="L12">
        <f t="shared" si="0"/>
        <v>44</v>
      </c>
      <c r="M12" s="368">
        <f t="shared" si="1"/>
        <v>0.54545454545454541</v>
      </c>
      <c r="N12" s="365">
        <f t="shared" si="2"/>
        <v>0.18181818181818182</v>
      </c>
      <c r="O12" s="365">
        <f t="shared" si="3"/>
        <v>0.27272727272727271</v>
      </c>
      <c r="AB12" t="s">
        <v>130</v>
      </c>
      <c r="AC12" t="s">
        <v>149</v>
      </c>
      <c r="AD12" t="s">
        <v>31</v>
      </c>
      <c r="AE12" t="s">
        <v>161</v>
      </c>
      <c r="AF12" t="s">
        <v>30</v>
      </c>
      <c r="AH12">
        <v>3</v>
      </c>
      <c r="AI12">
        <v>0</v>
      </c>
    </row>
    <row r="13" spans="1:37">
      <c r="A13" t="s">
        <v>84</v>
      </c>
      <c r="B13" t="s">
        <v>30</v>
      </c>
      <c r="D13">
        <v>3</v>
      </c>
      <c r="I13">
        <v>99</v>
      </c>
      <c r="J13">
        <f>SUM(J6:J12)</f>
        <v>36</v>
      </c>
      <c r="K13">
        <v>99</v>
      </c>
      <c r="L13">
        <f t="shared" si="0"/>
        <v>234</v>
      </c>
      <c r="M13" s="365">
        <f t="shared" ref="M13" si="4">I13/L13</f>
        <v>0.42307692307692307</v>
      </c>
      <c r="N13" s="365">
        <f t="shared" ref="N13" si="5">J13/L13</f>
        <v>0.15384615384615385</v>
      </c>
      <c r="O13" s="365">
        <f t="shared" ref="O13" si="6">K13/L13</f>
        <v>0.42307692307692307</v>
      </c>
      <c r="AB13" t="s">
        <v>142</v>
      </c>
      <c r="AC13" t="s">
        <v>137</v>
      </c>
      <c r="AD13" t="s">
        <v>32</v>
      </c>
      <c r="AE13" t="s">
        <v>83</v>
      </c>
      <c r="AF13" t="s">
        <v>84</v>
      </c>
      <c r="AH13">
        <v>3</v>
      </c>
      <c r="AI13">
        <v>0</v>
      </c>
      <c r="AJ13">
        <v>1</v>
      </c>
    </row>
    <row r="14" spans="1:37">
      <c r="A14" t="s">
        <v>84</v>
      </c>
      <c r="B14" t="s">
        <v>30</v>
      </c>
      <c r="D14">
        <v>3</v>
      </c>
      <c r="M14" s="365"/>
      <c r="N14" s="365"/>
      <c r="O14" s="365"/>
      <c r="U14" s="364"/>
      <c r="AB14" t="s">
        <v>75</v>
      </c>
      <c r="AC14" t="s">
        <v>107</v>
      </c>
      <c r="AD14" t="s">
        <v>84</v>
      </c>
      <c r="AE14" t="s">
        <v>125</v>
      </c>
      <c r="AF14" t="s">
        <v>30</v>
      </c>
      <c r="AH14">
        <v>3</v>
      </c>
      <c r="AI14">
        <v>0</v>
      </c>
      <c r="AJ14">
        <v>1</v>
      </c>
      <c r="AK14">
        <v>0</v>
      </c>
    </row>
    <row r="15" spans="1:37">
      <c r="A15" t="s">
        <v>84</v>
      </c>
      <c r="B15" t="s">
        <v>32</v>
      </c>
      <c r="D15">
        <v>3</v>
      </c>
      <c r="AB15" t="s">
        <v>164</v>
      </c>
      <c r="AC15" t="s">
        <v>82</v>
      </c>
      <c r="AD15" t="s">
        <v>30</v>
      </c>
      <c r="AE15" t="s">
        <v>137</v>
      </c>
      <c r="AF15" t="s">
        <v>32</v>
      </c>
      <c r="AH15">
        <v>0</v>
      </c>
      <c r="AI15">
        <v>3</v>
      </c>
      <c r="AJ15">
        <v>0</v>
      </c>
      <c r="AK15">
        <v>1</v>
      </c>
    </row>
    <row r="16" spans="1:37">
      <c r="A16" t="s">
        <v>84</v>
      </c>
      <c r="B16" t="s">
        <v>32</v>
      </c>
      <c r="D16">
        <v>3</v>
      </c>
      <c r="AB16" t="s">
        <v>100</v>
      </c>
      <c r="AC16" t="s">
        <v>95</v>
      </c>
      <c r="AD16" t="s">
        <v>31</v>
      </c>
      <c r="AE16" t="s">
        <v>149</v>
      </c>
      <c r="AF16" t="s">
        <v>31</v>
      </c>
      <c r="AH16">
        <v>1</v>
      </c>
      <c r="AI16">
        <v>1</v>
      </c>
      <c r="AJ16">
        <v>1</v>
      </c>
      <c r="AK16">
        <v>0</v>
      </c>
    </row>
    <row r="17" spans="1:37">
      <c r="A17" t="s">
        <v>84</v>
      </c>
      <c r="B17" t="s">
        <v>32</v>
      </c>
      <c r="D17">
        <v>3</v>
      </c>
      <c r="AB17" t="s">
        <v>118</v>
      </c>
      <c r="AC17" t="s">
        <v>96</v>
      </c>
      <c r="AD17" t="s">
        <v>31</v>
      </c>
      <c r="AE17" t="s">
        <v>138</v>
      </c>
      <c r="AF17" t="s">
        <v>33</v>
      </c>
      <c r="AH17">
        <v>0</v>
      </c>
      <c r="AI17">
        <v>3</v>
      </c>
      <c r="AJ17">
        <v>0</v>
      </c>
      <c r="AK17">
        <v>1</v>
      </c>
    </row>
    <row r="18" spans="1:37">
      <c r="A18" t="s">
        <v>84</v>
      </c>
      <c r="B18" t="s">
        <v>35</v>
      </c>
      <c r="D18">
        <v>1</v>
      </c>
      <c r="AB18" t="s">
        <v>130</v>
      </c>
      <c r="AC18" t="s">
        <v>161</v>
      </c>
      <c r="AD18" t="s">
        <v>30</v>
      </c>
      <c r="AE18" t="s">
        <v>182</v>
      </c>
      <c r="AF18" t="s">
        <v>30</v>
      </c>
      <c r="AH18">
        <v>0</v>
      </c>
      <c r="AI18">
        <v>3</v>
      </c>
      <c r="AJ18">
        <v>0</v>
      </c>
      <c r="AK18">
        <v>1</v>
      </c>
    </row>
    <row r="19" spans="1:37">
      <c r="A19" t="s">
        <v>84</v>
      </c>
      <c r="B19" t="s">
        <v>31</v>
      </c>
      <c r="D19">
        <v>1</v>
      </c>
      <c r="AB19" t="s">
        <v>142</v>
      </c>
      <c r="AC19" t="s">
        <v>83</v>
      </c>
      <c r="AD19" t="s">
        <v>84</v>
      </c>
      <c r="AE19" t="s">
        <v>150</v>
      </c>
      <c r="AF19" t="s">
        <v>32</v>
      </c>
      <c r="AH19">
        <v>0</v>
      </c>
      <c r="AI19">
        <v>3</v>
      </c>
      <c r="AJ19">
        <v>0</v>
      </c>
      <c r="AK19">
        <v>0</v>
      </c>
    </row>
    <row r="20" spans="1:37">
      <c r="A20" t="s">
        <v>84</v>
      </c>
      <c r="B20" t="s">
        <v>31</v>
      </c>
      <c r="D20">
        <v>1</v>
      </c>
      <c r="AB20" t="s">
        <v>118</v>
      </c>
      <c r="AC20" t="s">
        <v>93</v>
      </c>
      <c r="AD20" t="s">
        <v>33</v>
      </c>
      <c r="AE20" t="s">
        <v>132</v>
      </c>
      <c r="AF20" t="s">
        <v>84</v>
      </c>
      <c r="AH20">
        <v>0</v>
      </c>
      <c r="AI20">
        <v>3</v>
      </c>
      <c r="AJ20">
        <v>0</v>
      </c>
      <c r="AK20">
        <v>1</v>
      </c>
    </row>
    <row r="21" spans="1:37">
      <c r="A21" t="s">
        <v>84</v>
      </c>
      <c r="B21" t="s">
        <v>31</v>
      </c>
      <c r="D21">
        <v>1</v>
      </c>
      <c r="AB21" t="s">
        <v>130</v>
      </c>
      <c r="AC21" t="s">
        <v>80</v>
      </c>
      <c r="AD21" t="s">
        <v>30</v>
      </c>
      <c r="AE21" t="s">
        <v>156</v>
      </c>
      <c r="AF21" t="s">
        <v>33</v>
      </c>
      <c r="AH21">
        <v>3</v>
      </c>
      <c r="AI21">
        <v>0</v>
      </c>
      <c r="AJ21">
        <v>0</v>
      </c>
      <c r="AK21">
        <v>1</v>
      </c>
    </row>
    <row r="22" spans="1:37">
      <c r="A22" t="s">
        <v>84</v>
      </c>
      <c r="B22" t="s">
        <v>30</v>
      </c>
      <c r="D22">
        <v>1</v>
      </c>
      <c r="AB22" t="s">
        <v>142</v>
      </c>
      <c r="AC22" t="s">
        <v>105</v>
      </c>
      <c r="AD22" t="s">
        <v>31</v>
      </c>
      <c r="AE22" t="s">
        <v>120</v>
      </c>
      <c r="AF22" t="s">
        <v>32</v>
      </c>
      <c r="AH22">
        <v>1</v>
      </c>
      <c r="AI22">
        <v>1</v>
      </c>
    </row>
    <row r="23" spans="1:37">
      <c r="A23" t="s">
        <v>84</v>
      </c>
      <c r="B23" t="s">
        <v>30</v>
      </c>
      <c r="D23">
        <v>1</v>
      </c>
      <c r="AB23" t="s">
        <v>124</v>
      </c>
      <c r="AC23" t="s">
        <v>99</v>
      </c>
      <c r="AD23" t="s">
        <v>35</v>
      </c>
      <c r="AE23" t="s">
        <v>161</v>
      </c>
      <c r="AF23" t="s">
        <v>30</v>
      </c>
      <c r="AH23">
        <v>3</v>
      </c>
      <c r="AI23">
        <v>0</v>
      </c>
      <c r="AJ23">
        <v>1</v>
      </c>
      <c r="AK23">
        <v>0</v>
      </c>
    </row>
    <row r="24" spans="1:37">
      <c r="A24" t="s">
        <v>84</v>
      </c>
      <c r="B24" t="s">
        <v>30</v>
      </c>
      <c r="D24">
        <v>1</v>
      </c>
      <c r="AB24" t="s">
        <v>136</v>
      </c>
      <c r="AC24" t="s">
        <v>74</v>
      </c>
      <c r="AD24" t="s">
        <v>32</v>
      </c>
      <c r="AE24" t="s">
        <v>83</v>
      </c>
      <c r="AF24" t="s">
        <v>84</v>
      </c>
      <c r="AH24">
        <v>0</v>
      </c>
      <c r="AI24">
        <v>3</v>
      </c>
      <c r="AJ24">
        <v>0</v>
      </c>
    </row>
    <row r="25" spans="1:37">
      <c r="A25" t="s">
        <v>84</v>
      </c>
      <c r="B25" t="s">
        <v>32</v>
      </c>
      <c r="D25">
        <v>1</v>
      </c>
      <c r="AB25" t="s">
        <v>39</v>
      </c>
      <c r="AC25" t="s">
        <v>87</v>
      </c>
      <c r="AD25" t="s">
        <v>30</v>
      </c>
      <c r="AE25" t="s">
        <v>96</v>
      </c>
      <c r="AF25" t="s">
        <v>31</v>
      </c>
      <c r="AH25">
        <v>3</v>
      </c>
      <c r="AI25">
        <v>0</v>
      </c>
      <c r="AJ25">
        <v>1</v>
      </c>
    </row>
    <row r="26" spans="1:37">
      <c r="A26" t="s">
        <v>84</v>
      </c>
      <c r="B26" t="s">
        <v>32</v>
      </c>
      <c r="D26">
        <v>1</v>
      </c>
      <c r="AB26" t="s">
        <v>153</v>
      </c>
      <c r="AC26" t="s">
        <v>80</v>
      </c>
      <c r="AD26" t="s">
        <v>30</v>
      </c>
      <c r="AE26" t="s">
        <v>161</v>
      </c>
      <c r="AF26" t="s">
        <v>30</v>
      </c>
      <c r="AH26">
        <v>3</v>
      </c>
      <c r="AI26">
        <v>0</v>
      </c>
      <c r="AJ26">
        <v>1</v>
      </c>
      <c r="AK26">
        <v>0</v>
      </c>
    </row>
    <row r="27" spans="1:37">
      <c r="A27" t="s">
        <v>84</v>
      </c>
      <c r="B27" t="s">
        <v>35</v>
      </c>
      <c r="D27">
        <v>0</v>
      </c>
      <c r="AB27" t="s">
        <v>157</v>
      </c>
      <c r="AC27" t="s">
        <v>93</v>
      </c>
      <c r="AD27" t="s">
        <v>33</v>
      </c>
      <c r="AE27" t="s">
        <v>96</v>
      </c>
      <c r="AF27" t="s">
        <v>31</v>
      </c>
      <c r="AH27">
        <v>3</v>
      </c>
      <c r="AI27">
        <v>0</v>
      </c>
      <c r="AJ27">
        <v>0</v>
      </c>
      <c r="AK27">
        <v>0</v>
      </c>
    </row>
    <row r="28" spans="1:37">
      <c r="A28" t="s">
        <v>84</v>
      </c>
      <c r="B28" t="s">
        <v>35</v>
      </c>
      <c r="D28">
        <v>0</v>
      </c>
      <c r="AB28" t="s">
        <v>97</v>
      </c>
      <c r="AC28" t="s">
        <v>105</v>
      </c>
      <c r="AD28" t="s">
        <v>31</v>
      </c>
      <c r="AE28" t="s">
        <v>83</v>
      </c>
      <c r="AF28" t="s">
        <v>84</v>
      </c>
      <c r="AH28">
        <v>1</v>
      </c>
      <c r="AI28">
        <v>1</v>
      </c>
      <c r="AJ28">
        <v>1</v>
      </c>
    </row>
    <row r="29" spans="1:37">
      <c r="A29" t="s">
        <v>84</v>
      </c>
      <c r="B29" t="s">
        <v>35</v>
      </c>
      <c r="D29">
        <v>0</v>
      </c>
      <c r="AB29" t="s">
        <v>121</v>
      </c>
      <c r="AC29" t="s">
        <v>74</v>
      </c>
      <c r="AD29" t="s">
        <v>32</v>
      </c>
      <c r="AE29" t="s">
        <v>132</v>
      </c>
      <c r="AF29" t="s">
        <v>84</v>
      </c>
      <c r="AH29">
        <v>0</v>
      </c>
      <c r="AI29">
        <v>3</v>
      </c>
      <c r="AK29">
        <v>1</v>
      </c>
    </row>
    <row r="30" spans="1:37">
      <c r="A30" t="s">
        <v>84</v>
      </c>
      <c r="B30" t="s">
        <v>31</v>
      </c>
      <c r="D30">
        <v>0</v>
      </c>
      <c r="AB30" t="s">
        <v>133</v>
      </c>
      <c r="AC30" t="s">
        <v>99</v>
      </c>
      <c r="AD30" t="s">
        <v>35</v>
      </c>
      <c r="AE30" t="s">
        <v>120</v>
      </c>
      <c r="AF30" t="s">
        <v>32</v>
      </c>
      <c r="AH30">
        <v>0</v>
      </c>
      <c r="AI30">
        <v>3</v>
      </c>
      <c r="AK30">
        <v>1</v>
      </c>
    </row>
    <row r="31" spans="1:37">
      <c r="A31" t="s">
        <v>84</v>
      </c>
      <c r="B31" t="s">
        <v>31</v>
      </c>
      <c r="D31">
        <v>0</v>
      </c>
      <c r="AB31" t="s">
        <v>145</v>
      </c>
      <c r="AC31" t="s">
        <v>87</v>
      </c>
      <c r="AD31" t="s">
        <v>30</v>
      </c>
      <c r="AE31" t="s">
        <v>156</v>
      </c>
      <c r="AF31" t="s">
        <v>33</v>
      </c>
      <c r="AH31">
        <v>0</v>
      </c>
      <c r="AI31">
        <v>3</v>
      </c>
      <c r="AK31">
        <v>1</v>
      </c>
    </row>
    <row r="32" spans="1:37">
      <c r="A32" t="s">
        <v>84</v>
      </c>
      <c r="B32" t="s">
        <v>31</v>
      </c>
      <c r="D32">
        <v>0</v>
      </c>
      <c r="AC32" t="s">
        <v>105</v>
      </c>
      <c r="AD32" t="s">
        <v>31</v>
      </c>
      <c r="AE32" t="s">
        <v>99</v>
      </c>
      <c r="AF32" t="s">
        <v>35</v>
      </c>
      <c r="AH32">
        <v>0</v>
      </c>
      <c r="AI32">
        <v>3</v>
      </c>
      <c r="AK32">
        <v>1</v>
      </c>
    </row>
    <row r="33" spans="1:37">
      <c r="A33" t="s">
        <v>84</v>
      </c>
      <c r="B33" t="s">
        <v>36</v>
      </c>
      <c r="D33">
        <v>0</v>
      </c>
      <c r="AC33" s="105" t="s">
        <v>80</v>
      </c>
      <c r="AD33" s="105" t="s">
        <v>30</v>
      </c>
      <c r="AE33" s="105" t="s">
        <v>74</v>
      </c>
      <c r="AF33" t="s">
        <v>32</v>
      </c>
      <c r="AH33">
        <v>3</v>
      </c>
      <c r="AI33">
        <v>0</v>
      </c>
      <c r="AK33">
        <v>1</v>
      </c>
    </row>
    <row r="34" spans="1:37">
      <c r="A34" t="s">
        <v>84</v>
      </c>
      <c r="B34" t="s">
        <v>33</v>
      </c>
      <c r="D34">
        <v>0</v>
      </c>
      <c r="AC34" t="s">
        <v>93</v>
      </c>
      <c r="AD34" t="s">
        <v>33</v>
      </c>
      <c r="AE34" t="s">
        <v>87</v>
      </c>
      <c r="AF34" t="s">
        <v>30</v>
      </c>
      <c r="AH34">
        <v>0</v>
      </c>
      <c r="AI34">
        <v>3</v>
      </c>
      <c r="AK34">
        <v>1</v>
      </c>
    </row>
    <row r="35" spans="1:37">
      <c r="A35" t="s">
        <v>84</v>
      </c>
      <c r="B35" t="s">
        <v>30</v>
      </c>
      <c r="D35">
        <v>0</v>
      </c>
      <c r="AC35" t="s">
        <v>96</v>
      </c>
      <c r="AD35" t="s">
        <v>31</v>
      </c>
      <c r="AE35" t="s">
        <v>156</v>
      </c>
      <c r="AF35" t="s">
        <v>33</v>
      </c>
      <c r="AH35">
        <v>3</v>
      </c>
      <c r="AI35">
        <v>0</v>
      </c>
    </row>
    <row r="36" spans="1:37">
      <c r="A36" t="s">
        <v>84</v>
      </c>
      <c r="B36" t="s">
        <v>30</v>
      </c>
      <c r="D36">
        <v>0</v>
      </c>
      <c r="AC36" t="s">
        <v>161</v>
      </c>
      <c r="AD36" t="s">
        <v>30</v>
      </c>
      <c r="AE36" t="s">
        <v>120</v>
      </c>
      <c r="AF36" t="s">
        <v>32</v>
      </c>
      <c r="AH36">
        <v>0</v>
      </c>
      <c r="AI36">
        <v>3</v>
      </c>
      <c r="AK36">
        <v>1</v>
      </c>
    </row>
    <row r="37" spans="1:37">
      <c r="A37" t="s">
        <v>84</v>
      </c>
      <c r="B37" t="s">
        <v>30</v>
      </c>
      <c r="D37">
        <v>0</v>
      </c>
      <c r="AC37" t="s">
        <v>83</v>
      </c>
      <c r="AD37" t="s">
        <v>84</v>
      </c>
      <c r="AE37" t="s">
        <v>132</v>
      </c>
      <c r="AF37" t="s">
        <v>84</v>
      </c>
      <c r="AH37">
        <v>0</v>
      </c>
      <c r="AI37">
        <v>3</v>
      </c>
      <c r="AJ37">
        <v>1</v>
      </c>
    </row>
    <row r="38" spans="1:37">
      <c r="A38" t="s">
        <v>84</v>
      </c>
      <c r="B38" t="s">
        <v>32</v>
      </c>
      <c r="D38">
        <v>0</v>
      </c>
    </row>
    <row r="39" spans="1:37">
      <c r="A39" t="s">
        <v>84</v>
      </c>
      <c r="B39" t="s">
        <v>32</v>
      </c>
      <c r="D39">
        <v>0</v>
      </c>
    </row>
    <row r="40" spans="1:37">
      <c r="A40" t="s">
        <v>84</v>
      </c>
      <c r="B40" t="s">
        <v>32</v>
      </c>
      <c r="D40">
        <v>0</v>
      </c>
    </row>
    <row r="41" spans="1:37">
      <c r="A41" t="s">
        <v>84</v>
      </c>
      <c r="B41" t="s">
        <v>32</v>
      </c>
      <c r="D41">
        <v>0</v>
      </c>
    </row>
    <row r="42" spans="1:37">
      <c r="A42" t="s">
        <v>84</v>
      </c>
      <c r="B42" t="s">
        <v>32</v>
      </c>
      <c r="D42">
        <v>0</v>
      </c>
    </row>
    <row r="43" spans="1:37">
      <c r="A43" t="s">
        <v>84</v>
      </c>
      <c r="B43" t="s">
        <v>32</v>
      </c>
      <c r="D43">
        <v>0</v>
      </c>
    </row>
    <row r="44" spans="1:37">
      <c r="A44" t="s">
        <v>35</v>
      </c>
      <c r="B44" t="s">
        <v>84</v>
      </c>
      <c r="D44">
        <v>3</v>
      </c>
    </row>
    <row r="45" spans="1:37">
      <c r="A45" t="s">
        <v>35</v>
      </c>
      <c r="B45" t="s">
        <v>84</v>
      </c>
      <c r="D45">
        <v>3</v>
      </c>
    </row>
    <row r="46" spans="1:37">
      <c r="A46" t="s">
        <v>35</v>
      </c>
      <c r="B46" t="s">
        <v>84</v>
      </c>
      <c r="D46">
        <v>3</v>
      </c>
    </row>
    <row r="47" spans="1:37">
      <c r="A47" t="s">
        <v>35</v>
      </c>
      <c r="B47" t="s">
        <v>31</v>
      </c>
      <c r="D47">
        <v>3</v>
      </c>
    </row>
    <row r="48" spans="1:37">
      <c r="A48" t="s">
        <v>35</v>
      </c>
      <c r="B48" t="s">
        <v>31</v>
      </c>
      <c r="D48">
        <v>3</v>
      </c>
    </row>
    <row r="49" spans="1:4">
      <c r="A49" t="s">
        <v>35</v>
      </c>
      <c r="B49" t="s">
        <v>36</v>
      </c>
      <c r="D49">
        <v>3</v>
      </c>
    </row>
    <row r="50" spans="1:4">
      <c r="A50" t="s">
        <v>35</v>
      </c>
      <c r="B50" t="s">
        <v>33</v>
      </c>
      <c r="D50">
        <v>3</v>
      </c>
    </row>
    <row r="51" spans="1:4">
      <c r="A51" t="s">
        <v>35</v>
      </c>
      <c r="B51" t="s">
        <v>30</v>
      </c>
      <c r="D51">
        <v>3</v>
      </c>
    </row>
    <row r="52" spans="1:4">
      <c r="A52" t="s">
        <v>35</v>
      </c>
      <c r="B52" t="s">
        <v>30</v>
      </c>
      <c r="D52">
        <v>3</v>
      </c>
    </row>
    <row r="53" spans="1:4">
      <c r="A53" t="s">
        <v>35</v>
      </c>
      <c r="B53" t="s">
        <v>30</v>
      </c>
      <c r="D53">
        <v>3</v>
      </c>
    </row>
    <row r="54" spans="1:4">
      <c r="A54" t="s">
        <v>35</v>
      </c>
      <c r="B54" t="s">
        <v>32</v>
      </c>
      <c r="D54">
        <v>3</v>
      </c>
    </row>
    <row r="55" spans="1:4">
      <c r="A55" t="s">
        <v>35</v>
      </c>
      <c r="B55" t="s">
        <v>32</v>
      </c>
      <c r="D55">
        <v>3</v>
      </c>
    </row>
    <row r="56" spans="1:4">
      <c r="A56" t="s">
        <v>35</v>
      </c>
      <c r="B56" t="s">
        <v>32</v>
      </c>
      <c r="D56">
        <v>3</v>
      </c>
    </row>
    <row r="57" spans="1:4">
      <c r="A57" t="s">
        <v>35</v>
      </c>
      <c r="B57" t="s">
        <v>84</v>
      </c>
      <c r="D57">
        <v>1</v>
      </c>
    </row>
    <row r="58" spans="1:4">
      <c r="A58" t="s">
        <v>35</v>
      </c>
      <c r="B58" t="s">
        <v>31</v>
      </c>
      <c r="D58">
        <v>0</v>
      </c>
    </row>
    <row r="59" spans="1:4">
      <c r="A59" t="s">
        <v>35</v>
      </c>
      <c r="B59" t="s">
        <v>36</v>
      </c>
      <c r="D59">
        <v>0</v>
      </c>
    </row>
    <row r="60" spans="1:4">
      <c r="A60" t="s">
        <v>35</v>
      </c>
      <c r="B60" t="s">
        <v>32</v>
      </c>
      <c r="D60">
        <v>0</v>
      </c>
    </row>
    <row r="61" spans="1:4">
      <c r="A61" t="s">
        <v>35</v>
      </c>
      <c r="B61" t="s">
        <v>32</v>
      </c>
      <c r="D61">
        <v>0</v>
      </c>
    </row>
    <row r="62" spans="1:4">
      <c r="A62" t="s">
        <v>31</v>
      </c>
      <c r="B62" t="s">
        <v>84</v>
      </c>
      <c r="D62">
        <v>3</v>
      </c>
    </row>
    <row r="63" spans="1:4">
      <c r="A63" t="s">
        <v>31</v>
      </c>
      <c r="B63" t="s">
        <v>84</v>
      </c>
      <c r="D63">
        <v>3</v>
      </c>
    </row>
    <row r="64" spans="1:4">
      <c r="A64" t="s">
        <v>31</v>
      </c>
      <c r="B64" t="s">
        <v>84</v>
      </c>
      <c r="D64">
        <v>3</v>
      </c>
    </row>
    <row r="65" spans="1:4">
      <c r="A65" t="s">
        <v>31</v>
      </c>
      <c r="B65" t="s">
        <v>35</v>
      </c>
      <c r="D65">
        <v>3</v>
      </c>
    </row>
    <row r="66" spans="1:4">
      <c r="A66" t="s">
        <v>31</v>
      </c>
      <c r="B66" t="s">
        <v>36</v>
      </c>
      <c r="D66">
        <v>3</v>
      </c>
    </row>
    <row r="67" spans="1:4">
      <c r="A67" t="s">
        <v>31</v>
      </c>
      <c r="B67" t="s">
        <v>36</v>
      </c>
      <c r="D67">
        <v>3</v>
      </c>
    </row>
    <row r="68" spans="1:4">
      <c r="A68" t="s">
        <v>31</v>
      </c>
      <c r="B68" t="s">
        <v>33</v>
      </c>
      <c r="D68">
        <v>3</v>
      </c>
    </row>
    <row r="69" spans="1:4">
      <c r="A69" t="s">
        <v>31</v>
      </c>
      <c r="B69" t="s">
        <v>33</v>
      </c>
      <c r="D69">
        <v>3</v>
      </c>
    </row>
    <row r="70" spans="1:4">
      <c r="A70" t="s">
        <v>31</v>
      </c>
      <c r="B70" t="s">
        <v>33</v>
      </c>
      <c r="D70">
        <v>3</v>
      </c>
    </row>
    <row r="71" spans="1:4">
      <c r="A71" t="s">
        <v>31</v>
      </c>
      <c r="B71" t="s">
        <v>30</v>
      </c>
      <c r="D71">
        <v>3</v>
      </c>
    </row>
    <row r="72" spans="1:4">
      <c r="A72" t="s">
        <v>31</v>
      </c>
      <c r="B72" t="s">
        <v>30</v>
      </c>
      <c r="D72">
        <v>3</v>
      </c>
    </row>
    <row r="73" spans="1:4">
      <c r="A73" t="s">
        <v>31</v>
      </c>
      <c r="B73" t="s">
        <v>30</v>
      </c>
      <c r="D73">
        <v>3</v>
      </c>
    </row>
    <row r="74" spans="1:4">
      <c r="A74" t="s">
        <v>31</v>
      </c>
      <c r="B74" t="s">
        <v>30</v>
      </c>
      <c r="D74">
        <v>3</v>
      </c>
    </row>
    <row r="75" spans="1:4">
      <c r="A75" t="s">
        <v>31</v>
      </c>
      <c r="B75" t="s">
        <v>30</v>
      </c>
      <c r="D75">
        <v>3</v>
      </c>
    </row>
    <row r="76" spans="1:4">
      <c r="A76" t="s">
        <v>31</v>
      </c>
      <c r="B76" t="s">
        <v>30</v>
      </c>
      <c r="D76">
        <v>3</v>
      </c>
    </row>
    <row r="77" spans="1:4">
      <c r="A77" t="s">
        <v>31</v>
      </c>
      <c r="B77" t="s">
        <v>30</v>
      </c>
      <c r="D77">
        <v>3</v>
      </c>
    </row>
    <row r="78" spans="1:4">
      <c r="A78" t="s">
        <v>31</v>
      </c>
      <c r="B78" t="s">
        <v>30</v>
      </c>
      <c r="D78">
        <v>3</v>
      </c>
    </row>
    <row r="79" spans="1:4">
      <c r="A79" t="s">
        <v>31</v>
      </c>
      <c r="B79" t="s">
        <v>32</v>
      </c>
      <c r="D79">
        <v>3</v>
      </c>
    </row>
    <row r="80" spans="1:4">
      <c r="A80" t="s">
        <v>31</v>
      </c>
      <c r="B80" t="s">
        <v>32</v>
      </c>
      <c r="D80">
        <v>3</v>
      </c>
    </row>
    <row r="81" spans="1:4">
      <c r="A81" t="s">
        <v>31</v>
      </c>
      <c r="B81" t="s">
        <v>84</v>
      </c>
      <c r="D81">
        <v>1</v>
      </c>
    </row>
    <row r="82" spans="1:4">
      <c r="A82" t="s">
        <v>31</v>
      </c>
      <c r="B82" t="s">
        <v>84</v>
      </c>
      <c r="D82">
        <v>1</v>
      </c>
    </row>
    <row r="83" spans="1:4">
      <c r="A83" t="s">
        <v>31</v>
      </c>
      <c r="B83" t="s">
        <v>84</v>
      </c>
      <c r="D83">
        <v>1</v>
      </c>
    </row>
    <row r="84" spans="1:4">
      <c r="A84" t="s">
        <v>31</v>
      </c>
      <c r="B84" t="s">
        <v>36</v>
      </c>
      <c r="D84">
        <v>1</v>
      </c>
    </row>
    <row r="85" spans="1:4">
      <c r="A85" t="s">
        <v>31</v>
      </c>
      <c r="B85" t="s">
        <v>36</v>
      </c>
      <c r="D85">
        <v>1</v>
      </c>
    </row>
    <row r="86" spans="1:4">
      <c r="A86" t="s">
        <v>31</v>
      </c>
      <c r="B86" t="s">
        <v>30</v>
      </c>
      <c r="D86">
        <v>1</v>
      </c>
    </row>
    <row r="87" spans="1:4">
      <c r="A87" t="s">
        <v>31</v>
      </c>
      <c r="B87" t="s">
        <v>32</v>
      </c>
      <c r="D87">
        <v>1</v>
      </c>
    </row>
    <row r="88" spans="1:4">
      <c r="A88" t="s">
        <v>31</v>
      </c>
      <c r="B88" t="s">
        <v>32</v>
      </c>
      <c r="D88">
        <v>1</v>
      </c>
    </row>
    <row r="89" spans="1:4">
      <c r="A89" t="s">
        <v>31</v>
      </c>
      <c r="B89" t="s">
        <v>32</v>
      </c>
      <c r="D89">
        <v>1</v>
      </c>
    </row>
    <row r="90" spans="1:4">
      <c r="A90" t="s">
        <v>31</v>
      </c>
      <c r="B90" t="s">
        <v>32</v>
      </c>
      <c r="D90">
        <v>1</v>
      </c>
    </row>
    <row r="91" spans="1:4">
      <c r="A91" t="s">
        <v>31</v>
      </c>
      <c r="B91" t="s">
        <v>84</v>
      </c>
      <c r="D91">
        <v>0</v>
      </c>
    </row>
    <row r="92" spans="1:4">
      <c r="A92" t="s">
        <v>31</v>
      </c>
      <c r="B92" t="s">
        <v>35</v>
      </c>
      <c r="D92">
        <v>0</v>
      </c>
    </row>
    <row r="93" spans="1:4">
      <c r="A93" t="s">
        <v>31</v>
      </c>
      <c r="B93" t="s">
        <v>35</v>
      </c>
      <c r="D93">
        <v>0</v>
      </c>
    </row>
    <row r="94" spans="1:4">
      <c r="A94" t="s">
        <v>31</v>
      </c>
      <c r="B94" t="s">
        <v>36</v>
      </c>
      <c r="D94">
        <v>0</v>
      </c>
    </row>
    <row r="95" spans="1:4">
      <c r="A95" t="s">
        <v>31</v>
      </c>
      <c r="B95" t="s">
        <v>33</v>
      </c>
      <c r="D95">
        <v>0</v>
      </c>
    </row>
    <row r="96" spans="1:4">
      <c r="A96" t="s">
        <v>31</v>
      </c>
      <c r="B96" t="s">
        <v>33</v>
      </c>
      <c r="D96">
        <v>0</v>
      </c>
    </row>
    <row r="97" spans="1:4">
      <c r="A97" t="s">
        <v>31</v>
      </c>
      <c r="B97" t="s">
        <v>30</v>
      </c>
      <c r="D97">
        <v>0</v>
      </c>
    </row>
    <row r="98" spans="1:4">
      <c r="A98" t="s">
        <v>31</v>
      </c>
      <c r="B98" t="s">
        <v>30</v>
      </c>
      <c r="D98">
        <v>0</v>
      </c>
    </row>
    <row r="99" spans="1:4">
      <c r="A99" t="s">
        <v>31</v>
      </c>
      <c r="B99" t="s">
        <v>30</v>
      </c>
      <c r="D99">
        <v>0</v>
      </c>
    </row>
    <row r="100" spans="1:4">
      <c r="A100" t="s">
        <v>31</v>
      </c>
      <c r="B100" t="s">
        <v>30</v>
      </c>
      <c r="D100">
        <v>0</v>
      </c>
    </row>
    <row r="101" spans="1:4">
      <c r="A101" t="s">
        <v>31</v>
      </c>
      <c r="B101" t="s">
        <v>30</v>
      </c>
      <c r="D101">
        <v>0</v>
      </c>
    </row>
    <row r="102" spans="1:4">
      <c r="A102" t="s">
        <v>31</v>
      </c>
      <c r="B102" t="s">
        <v>30</v>
      </c>
      <c r="D102">
        <v>0</v>
      </c>
    </row>
    <row r="103" spans="1:4">
      <c r="A103" t="s">
        <v>31</v>
      </c>
      <c r="B103" t="s">
        <v>30</v>
      </c>
      <c r="D103">
        <v>0</v>
      </c>
    </row>
    <row r="104" spans="1:4">
      <c r="A104" t="s">
        <v>31</v>
      </c>
      <c r="B104" t="s">
        <v>30</v>
      </c>
      <c r="D104">
        <v>0</v>
      </c>
    </row>
    <row r="105" spans="1:4">
      <c r="A105" t="s">
        <v>31</v>
      </c>
      <c r="B105" t="s">
        <v>30</v>
      </c>
      <c r="D105">
        <v>0</v>
      </c>
    </row>
    <row r="106" spans="1:4">
      <c r="A106" t="s">
        <v>31</v>
      </c>
      <c r="B106" t="s">
        <v>30</v>
      </c>
      <c r="D106">
        <v>0</v>
      </c>
    </row>
    <row r="107" spans="1:4">
      <c r="A107" t="s">
        <v>31</v>
      </c>
      <c r="B107" t="s">
        <v>32</v>
      </c>
      <c r="D107">
        <v>0</v>
      </c>
    </row>
    <row r="108" spans="1:4">
      <c r="A108" t="s">
        <v>31</v>
      </c>
      <c r="B108" t="s">
        <v>32</v>
      </c>
      <c r="D108">
        <v>0</v>
      </c>
    </row>
    <row r="109" spans="1:4">
      <c r="A109" t="s">
        <v>31</v>
      </c>
      <c r="B109" t="s">
        <v>32</v>
      </c>
      <c r="D109">
        <v>0</v>
      </c>
    </row>
    <row r="110" spans="1:4">
      <c r="A110" t="s">
        <v>31</v>
      </c>
      <c r="B110" t="s">
        <v>32</v>
      </c>
      <c r="D110">
        <v>0</v>
      </c>
    </row>
    <row r="111" spans="1:4">
      <c r="A111" t="s">
        <v>31</v>
      </c>
      <c r="B111" t="s">
        <v>32</v>
      </c>
      <c r="D111">
        <v>0</v>
      </c>
    </row>
    <row r="112" spans="1:4">
      <c r="A112" t="s">
        <v>31</v>
      </c>
      <c r="B112" t="s">
        <v>32</v>
      </c>
      <c r="D112">
        <v>0</v>
      </c>
    </row>
    <row r="113" spans="1:4">
      <c r="A113" t="s">
        <v>31</v>
      </c>
      <c r="B113" t="s">
        <v>32</v>
      </c>
      <c r="D113">
        <v>0</v>
      </c>
    </row>
    <row r="114" spans="1:4">
      <c r="A114" t="s">
        <v>31</v>
      </c>
      <c r="B114" t="s">
        <v>32</v>
      </c>
      <c r="D114">
        <v>0</v>
      </c>
    </row>
    <row r="115" spans="1:4">
      <c r="A115" t="s">
        <v>31</v>
      </c>
      <c r="B115" t="s">
        <v>32</v>
      </c>
      <c r="D115">
        <v>0</v>
      </c>
    </row>
    <row r="116" spans="1:4">
      <c r="A116" t="s">
        <v>36</v>
      </c>
      <c r="B116" t="s">
        <v>84</v>
      </c>
      <c r="D116">
        <v>3</v>
      </c>
    </row>
    <row r="117" spans="1:4">
      <c r="A117" t="s">
        <v>36</v>
      </c>
      <c r="B117" t="s">
        <v>35</v>
      </c>
      <c r="D117">
        <v>3</v>
      </c>
    </row>
    <row r="118" spans="1:4">
      <c r="A118" t="s">
        <v>36</v>
      </c>
      <c r="B118" t="s">
        <v>31</v>
      </c>
      <c r="D118">
        <v>3</v>
      </c>
    </row>
    <row r="119" spans="1:4">
      <c r="A119" t="s">
        <v>36</v>
      </c>
      <c r="B119" t="s">
        <v>30</v>
      </c>
      <c r="D119">
        <v>3</v>
      </c>
    </row>
    <row r="120" spans="1:4">
      <c r="A120" t="s">
        <v>36</v>
      </c>
      <c r="B120" t="s">
        <v>30</v>
      </c>
      <c r="D120">
        <v>3</v>
      </c>
    </row>
    <row r="121" spans="1:4">
      <c r="A121" t="s">
        <v>36</v>
      </c>
      <c r="B121" t="s">
        <v>31</v>
      </c>
      <c r="D121">
        <v>1</v>
      </c>
    </row>
    <row r="122" spans="1:4">
      <c r="A122" t="s">
        <v>36</v>
      </c>
      <c r="B122" t="s">
        <v>31</v>
      </c>
      <c r="D122">
        <v>1</v>
      </c>
    </row>
    <row r="123" spans="1:4">
      <c r="A123" t="s">
        <v>36</v>
      </c>
      <c r="B123" t="s">
        <v>32</v>
      </c>
      <c r="D123">
        <v>1</v>
      </c>
    </row>
    <row r="124" spans="1:4">
      <c r="A124" t="s">
        <v>36</v>
      </c>
      <c r="B124" t="s">
        <v>35</v>
      </c>
      <c r="D124">
        <v>0</v>
      </c>
    </row>
    <row r="125" spans="1:4">
      <c r="A125" t="s">
        <v>36</v>
      </c>
      <c r="B125" t="s">
        <v>31</v>
      </c>
      <c r="D125">
        <v>0</v>
      </c>
    </row>
    <row r="126" spans="1:4">
      <c r="A126" t="s">
        <v>36</v>
      </c>
      <c r="B126" t="s">
        <v>31</v>
      </c>
      <c r="D126">
        <v>0</v>
      </c>
    </row>
    <row r="127" spans="1:4">
      <c r="A127" t="s">
        <v>36</v>
      </c>
      <c r="B127" t="s">
        <v>30</v>
      </c>
      <c r="D127">
        <v>0</v>
      </c>
    </row>
    <row r="128" spans="1:4">
      <c r="A128" t="s">
        <v>33</v>
      </c>
      <c r="B128" t="s">
        <v>84</v>
      </c>
      <c r="D128">
        <v>3</v>
      </c>
    </row>
    <row r="129" spans="1:4">
      <c r="A129" t="s">
        <v>33</v>
      </c>
      <c r="B129" t="s">
        <v>31</v>
      </c>
      <c r="D129">
        <v>3</v>
      </c>
    </row>
    <row r="130" spans="1:4">
      <c r="A130" t="s">
        <v>33</v>
      </c>
      <c r="B130" t="s">
        <v>31</v>
      </c>
      <c r="D130">
        <v>3</v>
      </c>
    </row>
    <row r="131" spans="1:4">
      <c r="A131" t="s">
        <v>33</v>
      </c>
      <c r="B131" t="s">
        <v>30</v>
      </c>
      <c r="D131">
        <v>3</v>
      </c>
    </row>
    <row r="132" spans="1:4">
      <c r="A132" t="s">
        <v>33</v>
      </c>
      <c r="B132" t="s">
        <v>30</v>
      </c>
      <c r="D132">
        <v>3</v>
      </c>
    </row>
    <row r="133" spans="1:4">
      <c r="A133" t="s">
        <v>33</v>
      </c>
      <c r="B133" t="s">
        <v>32</v>
      </c>
      <c r="D133">
        <v>1</v>
      </c>
    </row>
    <row r="134" spans="1:4">
      <c r="A134" t="s">
        <v>33</v>
      </c>
      <c r="B134" t="s">
        <v>84</v>
      </c>
      <c r="D134">
        <v>0</v>
      </c>
    </row>
    <row r="135" spans="1:4">
      <c r="A135" t="s">
        <v>33</v>
      </c>
      <c r="B135" t="s">
        <v>84</v>
      </c>
      <c r="D135">
        <v>0</v>
      </c>
    </row>
    <row r="136" spans="1:4">
      <c r="A136" t="s">
        <v>33</v>
      </c>
      <c r="B136" t="s">
        <v>84</v>
      </c>
      <c r="D136">
        <v>0</v>
      </c>
    </row>
    <row r="137" spans="1:4">
      <c r="A137" t="s">
        <v>33</v>
      </c>
      <c r="B137" t="s">
        <v>84</v>
      </c>
      <c r="D137">
        <v>0</v>
      </c>
    </row>
    <row r="138" spans="1:4">
      <c r="A138" t="s">
        <v>33</v>
      </c>
      <c r="B138" t="s">
        <v>35</v>
      </c>
      <c r="D138">
        <v>0</v>
      </c>
    </row>
    <row r="139" spans="1:4">
      <c r="A139" t="s">
        <v>33</v>
      </c>
      <c r="B139" t="s">
        <v>31</v>
      </c>
      <c r="D139">
        <v>0</v>
      </c>
    </row>
    <row r="140" spans="1:4">
      <c r="A140" t="s">
        <v>33</v>
      </c>
      <c r="B140" t="s">
        <v>31</v>
      </c>
      <c r="D140">
        <v>0</v>
      </c>
    </row>
    <row r="141" spans="1:4">
      <c r="A141" t="s">
        <v>33</v>
      </c>
      <c r="B141" t="s">
        <v>31</v>
      </c>
      <c r="D141">
        <v>0</v>
      </c>
    </row>
    <row r="142" spans="1:4">
      <c r="A142" t="s">
        <v>33</v>
      </c>
      <c r="B142" t="s">
        <v>30</v>
      </c>
      <c r="D142">
        <v>0</v>
      </c>
    </row>
    <row r="143" spans="1:4">
      <c r="A143" t="s">
        <v>33</v>
      </c>
      <c r="B143" t="s">
        <v>30</v>
      </c>
      <c r="D143">
        <v>0</v>
      </c>
    </row>
    <row r="144" spans="1:4">
      <c r="A144" t="s">
        <v>33</v>
      </c>
      <c r="B144" t="s">
        <v>30</v>
      </c>
      <c r="D144">
        <v>0</v>
      </c>
    </row>
    <row r="145" spans="1:4">
      <c r="A145" t="s">
        <v>33</v>
      </c>
      <c r="B145" t="s">
        <v>32</v>
      </c>
      <c r="D145">
        <v>0</v>
      </c>
    </row>
    <row r="146" spans="1:4">
      <c r="A146" t="s">
        <v>30</v>
      </c>
      <c r="B146" t="s">
        <v>84</v>
      </c>
      <c r="D146">
        <v>3</v>
      </c>
    </row>
    <row r="147" spans="1:4">
      <c r="A147" t="s">
        <v>30</v>
      </c>
      <c r="B147" t="s">
        <v>84</v>
      </c>
      <c r="D147">
        <v>3</v>
      </c>
    </row>
    <row r="148" spans="1:4">
      <c r="A148" t="s">
        <v>30</v>
      </c>
      <c r="B148" t="s">
        <v>84</v>
      </c>
      <c r="D148">
        <v>3</v>
      </c>
    </row>
    <row r="149" spans="1:4">
      <c r="A149" t="s">
        <v>30</v>
      </c>
      <c r="B149" t="s">
        <v>31</v>
      </c>
      <c r="D149">
        <v>3</v>
      </c>
    </row>
    <row r="150" spans="1:4">
      <c r="A150" t="s">
        <v>30</v>
      </c>
      <c r="B150" t="s">
        <v>31</v>
      </c>
      <c r="D150">
        <v>3</v>
      </c>
    </row>
    <row r="151" spans="1:4">
      <c r="A151" t="s">
        <v>30</v>
      </c>
      <c r="B151" t="s">
        <v>31</v>
      </c>
      <c r="D151">
        <v>3</v>
      </c>
    </row>
    <row r="152" spans="1:4">
      <c r="A152" t="s">
        <v>30</v>
      </c>
      <c r="B152" t="s">
        <v>31</v>
      </c>
      <c r="D152">
        <v>3</v>
      </c>
    </row>
    <row r="153" spans="1:4">
      <c r="A153" t="s">
        <v>30</v>
      </c>
      <c r="B153" t="s">
        <v>31</v>
      </c>
      <c r="D153">
        <v>3</v>
      </c>
    </row>
    <row r="154" spans="1:4">
      <c r="A154" t="s">
        <v>30</v>
      </c>
      <c r="B154" t="s">
        <v>31</v>
      </c>
      <c r="D154">
        <v>3</v>
      </c>
    </row>
    <row r="155" spans="1:4">
      <c r="A155" t="s">
        <v>30</v>
      </c>
      <c r="B155" t="s">
        <v>31</v>
      </c>
      <c r="D155">
        <v>3</v>
      </c>
    </row>
    <row r="156" spans="1:4">
      <c r="A156" t="s">
        <v>30</v>
      </c>
      <c r="B156" t="s">
        <v>31</v>
      </c>
      <c r="D156">
        <v>3</v>
      </c>
    </row>
    <row r="157" spans="1:4">
      <c r="A157" t="s">
        <v>30</v>
      </c>
      <c r="B157" t="s">
        <v>31</v>
      </c>
      <c r="D157">
        <v>3</v>
      </c>
    </row>
    <row r="158" spans="1:4">
      <c r="A158" t="s">
        <v>30</v>
      </c>
      <c r="B158" t="s">
        <v>31</v>
      </c>
      <c r="D158">
        <v>3</v>
      </c>
    </row>
    <row r="159" spans="1:4">
      <c r="A159" t="s">
        <v>30</v>
      </c>
      <c r="B159" t="s">
        <v>36</v>
      </c>
      <c r="D159">
        <v>3</v>
      </c>
    </row>
    <row r="160" spans="1:4">
      <c r="A160" t="s">
        <v>30</v>
      </c>
      <c r="B160" t="s">
        <v>33</v>
      </c>
      <c r="D160">
        <v>3</v>
      </c>
    </row>
    <row r="161" spans="1:4">
      <c r="A161" t="s">
        <v>30</v>
      </c>
      <c r="B161" t="s">
        <v>33</v>
      </c>
      <c r="D161">
        <v>3</v>
      </c>
    </row>
    <row r="162" spans="1:4">
      <c r="A162" t="s">
        <v>30</v>
      </c>
      <c r="B162" t="s">
        <v>33</v>
      </c>
      <c r="D162">
        <v>3</v>
      </c>
    </row>
    <row r="163" spans="1:4">
      <c r="A163" t="s">
        <v>30</v>
      </c>
      <c r="B163" t="s">
        <v>32</v>
      </c>
      <c r="D163">
        <v>3</v>
      </c>
    </row>
    <row r="164" spans="1:4">
      <c r="A164" t="s">
        <v>30</v>
      </c>
      <c r="B164" t="s">
        <v>32</v>
      </c>
      <c r="D164">
        <v>3</v>
      </c>
    </row>
    <row r="165" spans="1:4">
      <c r="A165" t="s">
        <v>30</v>
      </c>
      <c r="B165" t="s">
        <v>32</v>
      </c>
      <c r="D165">
        <v>3</v>
      </c>
    </row>
    <row r="166" spans="1:4">
      <c r="A166" s="105" t="s">
        <v>30</v>
      </c>
      <c r="B166" t="s">
        <v>32</v>
      </c>
      <c r="D166">
        <v>3</v>
      </c>
    </row>
    <row r="167" spans="1:4">
      <c r="A167" t="s">
        <v>30</v>
      </c>
      <c r="B167" t="s">
        <v>84</v>
      </c>
      <c r="D167">
        <v>1</v>
      </c>
    </row>
    <row r="168" spans="1:4">
      <c r="A168" t="s">
        <v>30</v>
      </c>
      <c r="B168" t="s">
        <v>84</v>
      </c>
      <c r="D168">
        <v>1</v>
      </c>
    </row>
    <row r="169" spans="1:4">
      <c r="A169" t="s">
        <v>30</v>
      </c>
      <c r="B169" t="s">
        <v>84</v>
      </c>
      <c r="D169">
        <v>1</v>
      </c>
    </row>
    <row r="170" spans="1:4">
      <c r="A170" t="s">
        <v>30</v>
      </c>
      <c r="B170" t="s">
        <v>31</v>
      </c>
      <c r="D170">
        <v>1</v>
      </c>
    </row>
    <row r="171" spans="1:4">
      <c r="A171" t="s">
        <v>30</v>
      </c>
      <c r="B171" t="s">
        <v>84</v>
      </c>
      <c r="D171">
        <v>0</v>
      </c>
    </row>
    <row r="172" spans="1:4">
      <c r="A172" t="s">
        <v>30</v>
      </c>
      <c r="B172" t="s">
        <v>84</v>
      </c>
      <c r="D172">
        <v>0</v>
      </c>
    </row>
    <row r="173" spans="1:4">
      <c r="A173" t="s">
        <v>30</v>
      </c>
      <c r="B173" t="s">
        <v>84</v>
      </c>
      <c r="D173">
        <v>0</v>
      </c>
    </row>
    <row r="174" spans="1:4">
      <c r="A174" t="s">
        <v>30</v>
      </c>
      <c r="B174" t="s">
        <v>84</v>
      </c>
      <c r="D174">
        <v>0</v>
      </c>
    </row>
    <row r="175" spans="1:4">
      <c r="A175" t="s">
        <v>30</v>
      </c>
      <c r="B175" t="s">
        <v>35</v>
      </c>
      <c r="D175">
        <v>0</v>
      </c>
    </row>
    <row r="176" spans="1:4">
      <c r="A176" t="s">
        <v>30</v>
      </c>
      <c r="B176" t="s">
        <v>35</v>
      </c>
      <c r="D176">
        <v>0</v>
      </c>
    </row>
    <row r="177" spans="1:4">
      <c r="A177" t="s">
        <v>30</v>
      </c>
      <c r="B177" t="s">
        <v>35</v>
      </c>
      <c r="D177">
        <v>0</v>
      </c>
    </row>
    <row r="178" spans="1:4">
      <c r="A178" t="s">
        <v>30</v>
      </c>
      <c r="B178" t="s">
        <v>31</v>
      </c>
      <c r="D178">
        <v>0</v>
      </c>
    </row>
    <row r="179" spans="1:4">
      <c r="A179" t="s">
        <v>30</v>
      </c>
      <c r="B179" t="s">
        <v>31</v>
      </c>
      <c r="D179">
        <v>0</v>
      </c>
    </row>
    <row r="180" spans="1:4">
      <c r="A180" t="s">
        <v>30</v>
      </c>
      <c r="B180" t="s">
        <v>31</v>
      </c>
      <c r="D180">
        <v>0</v>
      </c>
    </row>
    <row r="181" spans="1:4">
      <c r="A181" t="s">
        <v>30</v>
      </c>
      <c r="B181" t="s">
        <v>31</v>
      </c>
      <c r="D181">
        <v>0</v>
      </c>
    </row>
    <row r="182" spans="1:4">
      <c r="A182" t="s">
        <v>30</v>
      </c>
      <c r="B182" t="s">
        <v>31</v>
      </c>
      <c r="D182">
        <v>0</v>
      </c>
    </row>
    <row r="183" spans="1:4">
      <c r="A183" t="s">
        <v>30</v>
      </c>
      <c r="B183" t="s">
        <v>31</v>
      </c>
      <c r="D183">
        <v>0</v>
      </c>
    </row>
    <row r="184" spans="1:4">
      <c r="A184" t="s">
        <v>30</v>
      </c>
      <c r="B184" t="s">
        <v>31</v>
      </c>
      <c r="D184">
        <v>0</v>
      </c>
    </row>
    <row r="185" spans="1:4">
      <c r="A185" t="s">
        <v>30</v>
      </c>
      <c r="B185" t="s">
        <v>31</v>
      </c>
      <c r="D185">
        <v>0</v>
      </c>
    </row>
    <row r="186" spans="1:4">
      <c r="A186" t="s">
        <v>30</v>
      </c>
      <c r="B186" t="s">
        <v>36</v>
      </c>
      <c r="D186">
        <v>0</v>
      </c>
    </row>
    <row r="187" spans="1:4">
      <c r="A187" t="s">
        <v>30</v>
      </c>
      <c r="B187" t="s">
        <v>36</v>
      </c>
      <c r="D187">
        <v>0</v>
      </c>
    </row>
    <row r="188" spans="1:4">
      <c r="A188" t="s">
        <v>30</v>
      </c>
      <c r="B188" t="s">
        <v>33</v>
      </c>
      <c r="D188">
        <v>0</v>
      </c>
    </row>
    <row r="189" spans="1:4">
      <c r="A189" t="s">
        <v>30</v>
      </c>
      <c r="B189" t="s">
        <v>33</v>
      </c>
      <c r="D189">
        <v>0</v>
      </c>
    </row>
    <row r="190" spans="1:4">
      <c r="A190" t="s">
        <v>30</v>
      </c>
      <c r="B190" t="s">
        <v>32</v>
      </c>
      <c r="D190">
        <v>0</v>
      </c>
    </row>
    <row r="191" spans="1:4">
      <c r="A191" t="s">
        <v>30</v>
      </c>
      <c r="B191" t="s">
        <v>32</v>
      </c>
      <c r="D191">
        <v>0</v>
      </c>
    </row>
    <row r="192" spans="1:4">
      <c r="A192" t="s">
        <v>30</v>
      </c>
      <c r="B192" t="s">
        <v>32</v>
      </c>
      <c r="D192">
        <v>0</v>
      </c>
    </row>
    <row r="193" spans="1:4">
      <c r="A193" t="s">
        <v>30</v>
      </c>
      <c r="B193" t="s">
        <v>32</v>
      </c>
      <c r="D193">
        <v>0</v>
      </c>
    </row>
    <row r="194" spans="1:4">
      <c r="A194" t="s">
        <v>30</v>
      </c>
      <c r="B194" t="s">
        <v>32</v>
      </c>
      <c r="D194">
        <v>0</v>
      </c>
    </row>
    <row r="195" spans="1:4">
      <c r="A195" t="s">
        <v>30</v>
      </c>
      <c r="B195" t="s">
        <v>32</v>
      </c>
      <c r="D195">
        <v>0</v>
      </c>
    </row>
    <row r="196" spans="1:4">
      <c r="A196" t="s">
        <v>32</v>
      </c>
      <c r="B196" t="s">
        <v>84</v>
      </c>
      <c r="D196">
        <v>3</v>
      </c>
    </row>
    <row r="197" spans="1:4">
      <c r="A197" t="s">
        <v>32</v>
      </c>
      <c r="B197" t="s">
        <v>84</v>
      </c>
      <c r="D197">
        <v>3</v>
      </c>
    </row>
    <row r="198" spans="1:4">
      <c r="A198" t="s">
        <v>32</v>
      </c>
      <c r="B198" t="s">
        <v>84</v>
      </c>
      <c r="D198">
        <v>3</v>
      </c>
    </row>
    <row r="199" spans="1:4">
      <c r="A199" t="s">
        <v>32</v>
      </c>
      <c r="B199" t="s">
        <v>84</v>
      </c>
      <c r="D199">
        <v>3</v>
      </c>
    </row>
    <row r="200" spans="1:4">
      <c r="A200" t="s">
        <v>32</v>
      </c>
      <c r="B200" t="s">
        <v>84</v>
      </c>
      <c r="D200">
        <v>3</v>
      </c>
    </row>
    <row r="201" spans="1:4">
      <c r="A201" t="s">
        <v>32</v>
      </c>
      <c r="B201" t="s">
        <v>84</v>
      </c>
      <c r="D201">
        <v>3</v>
      </c>
    </row>
    <row r="202" spans="1:4">
      <c r="A202" t="s">
        <v>32</v>
      </c>
      <c r="B202" t="s">
        <v>35</v>
      </c>
      <c r="D202">
        <v>3</v>
      </c>
    </row>
    <row r="203" spans="1:4">
      <c r="A203" t="s">
        <v>32</v>
      </c>
      <c r="B203" t="s">
        <v>35</v>
      </c>
      <c r="D203">
        <v>3</v>
      </c>
    </row>
    <row r="204" spans="1:4">
      <c r="A204" t="s">
        <v>32</v>
      </c>
      <c r="B204" t="s">
        <v>31</v>
      </c>
      <c r="D204">
        <v>3</v>
      </c>
    </row>
    <row r="205" spans="1:4">
      <c r="A205" t="s">
        <v>32</v>
      </c>
      <c r="B205" t="s">
        <v>31</v>
      </c>
      <c r="D205">
        <v>3</v>
      </c>
    </row>
    <row r="206" spans="1:4">
      <c r="A206" t="s">
        <v>32</v>
      </c>
      <c r="B206" t="s">
        <v>31</v>
      </c>
      <c r="D206">
        <v>3</v>
      </c>
    </row>
    <row r="207" spans="1:4">
      <c r="A207" t="s">
        <v>32</v>
      </c>
      <c r="B207" t="s">
        <v>31</v>
      </c>
      <c r="D207">
        <v>3</v>
      </c>
    </row>
    <row r="208" spans="1:4">
      <c r="A208" t="s">
        <v>32</v>
      </c>
      <c r="B208" t="s">
        <v>31</v>
      </c>
      <c r="D208">
        <v>3</v>
      </c>
    </row>
    <row r="209" spans="1:4">
      <c r="A209" t="s">
        <v>32</v>
      </c>
      <c r="B209" t="s">
        <v>31</v>
      </c>
      <c r="D209">
        <v>3</v>
      </c>
    </row>
    <row r="210" spans="1:4">
      <c r="A210" t="s">
        <v>32</v>
      </c>
      <c r="B210" t="s">
        <v>31</v>
      </c>
      <c r="D210">
        <v>3</v>
      </c>
    </row>
    <row r="211" spans="1:4">
      <c r="A211" t="s">
        <v>32</v>
      </c>
      <c r="B211" t="s">
        <v>31</v>
      </c>
      <c r="D211">
        <v>3</v>
      </c>
    </row>
    <row r="212" spans="1:4">
      <c r="A212" t="s">
        <v>32</v>
      </c>
      <c r="B212" t="s">
        <v>31</v>
      </c>
      <c r="D212">
        <v>3</v>
      </c>
    </row>
    <row r="213" spans="1:4">
      <c r="A213" t="s">
        <v>32</v>
      </c>
      <c r="B213" t="s">
        <v>33</v>
      </c>
      <c r="D213">
        <v>3</v>
      </c>
    </row>
    <row r="214" spans="1:4">
      <c r="A214" t="s">
        <v>32</v>
      </c>
      <c r="B214" t="s">
        <v>30</v>
      </c>
      <c r="D214">
        <v>3</v>
      </c>
    </row>
    <row r="215" spans="1:4">
      <c r="A215" t="s">
        <v>32</v>
      </c>
      <c r="B215" t="s">
        <v>30</v>
      </c>
      <c r="D215">
        <v>3</v>
      </c>
    </row>
    <row r="216" spans="1:4">
      <c r="A216" t="s">
        <v>32</v>
      </c>
      <c r="B216" t="s">
        <v>30</v>
      </c>
      <c r="D216">
        <v>3</v>
      </c>
    </row>
    <row r="217" spans="1:4">
      <c r="A217" t="s">
        <v>32</v>
      </c>
      <c r="B217" t="s">
        <v>30</v>
      </c>
      <c r="D217">
        <v>3</v>
      </c>
    </row>
    <row r="218" spans="1:4">
      <c r="A218" t="s">
        <v>32</v>
      </c>
      <c r="B218" t="s">
        <v>30</v>
      </c>
      <c r="D218">
        <v>3</v>
      </c>
    </row>
    <row r="219" spans="1:4">
      <c r="A219" t="s">
        <v>32</v>
      </c>
      <c r="B219" t="s">
        <v>30</v>
      </c>
      <c r="D219">
        <v>3</v>
      </c>
    </row>
    <row r="220" spans="1:4">
      <c r="A220" t="s">
        <v>32</v>
      </c>
      <c r="B220" t="s">
        <v>84</v>
      </c>
      <c r="D220">
        <v>1</v>
      </c>
    </row>
    <row r="221" spans="1:4">
      <c r="A221" t="s">
        <v>32</v>
      </c>
      <c r="B221" t="s">
        <v>84</v>
      </c>
      <c r="D221">
        <v>1</v>
      </c>
    </row>
    <row r="222" spans="1:4">
      <c r="A222" t="s">
        <v>32</v>
      </c>
      <c r="B222" t="s">
        <v>31</v>
      </c>
      <c r="D222">
        <v>1</v>
      </c>
    </row>
    <row r="223" spans="1:4">
      <c r="A223" t="s">
        <v>32</v>
      </c>
      <c r="B223" t="s">
        <v>31</v>
      </c>
      <c r="D223">
        <v>1</v>
      </c>
    </row>
    <row r="224" spans="1:4">
      <c r="A224" t="s">
        <v>32</v>
      </c>
      <c r="B224" t="s">
        <v>31</v>
      </c>
      <c r="D224">
        <v>1</v>
      </c>
    </row>
    <row r="225" spans="1:4">
      <c r="A225" t="s">
        <v>32</v>
      </c>
      <c r="B225" t="s">
        <v>31</v>
      </c>
      <c r="D225">
        <v>1</v>
      </c>
    </row>
    <row r="226" spans="1:4">
      <c r="A226" t="s">
        <v>32</v>
      </c>
      <c r="B226" t="s">
        <v>36</v>
      </c>
      <c r="D226">
        <v>1</v>
      </c>
    </row>
    <row r="227" spans="1:4">
      <c r="A227" t="s">
        <v>32</v>
      </c>
      <c r="B227" t="s">
        <v>33</v>
      </c>
      <c r="D227">
        <v>1</v>
      </c>
    </row>
    <row r="228" spans="1:4">
      <c r="A228" t="s">
        <v>32</v>
      </c>
      <c r="B228" t="s">
        <v>84</v>
      </c>
      <c r="D228">
        <v>0</v>
      </c>
    </row>
    <row r="229" spans="1:4">
      <c r="A229" t="s">
        <v>32</v>
      </c>
      <c r="B229" t="s">
        <v>84</v>
      </c>
      <c r="D229">
        <v>0</v>
      </c>
    </row>
    <row r="230" spans="1:4">
      <c r="A230" t="s">
        <v>32</v>
      </c>
      <c r="B230" t="s">
        <v>84</v>
      </c>
      <c r="D230">
        <v>0</v>
      </c>
    </row>
    <row r="231" spans="1:4">
      <c r="A231" t="s">
        <v>32</v>
      </c>
      <c r="B231" t="s">
        <v>35</v>
      </c>
      <c r="D231">
        <v>0</v>
      </c>
    </row>
    <row r="232" spans="1:4">
      <c r="A232" t="s">
        <v>32</v>
      </c>
      <c r="B232" t="s">
        <v>35</v>
      </c>
      <c r="D232">
        <v>0</v>
      </c>
    </row>
    <row r="233" spans="1:4">
      <c r="A233" t="s">
        <v>32</v>
      </c>
      <c r="B233" t="s">
        <v>35</v>
      </c>
      <c r="D233">
        <v>0</v>
      </c>
    </row>
    <row r="234" spans="1:4">
      <c r="A234" t="s">
        <v>32</v>
      </c>
      <c r="B234" t="s">
        <v>31</v>
      </c>
      <c r="D234">
        <v>0</v>
      </c>
    </row>
    <row r="235" spans="1:4">
      <c r="A235" t="s">
        <v>32</v>
      </c>
      <c r="B235" t="s">
        <v>31</v>
      </c>
      <c r="D235">
        <v>0</v>
      </c>
    </row>
    <row r="236" spans="1:4">
      <c r="A236" t="s">
        <v>32</v>
      </c>
      <c r="B236" t="s">
        <v>30</v>
      </c>
      <c r="D236">
        <v>0</v>
      </c>
    </row>
    <row r="237" spans="1:4">
      <c r="A237" t="s">
        <v>32</v>
      </c>
      <c r="B237" t="s">
        <v>30</v>
      </c>
      <c r="D237">
        <v>0</v>
      </c>
    </row>
    <row r="238" spans="1:4">
      <c r="A238" t="s">
        <v>32</v>
      </c>
      <c r="B238" t="s">
        <v>30</v>
      </c>
      <c r="D238">
        <v>0</v>
      </c>
    </row>
    <row r="239" spans="1:4">
      <c r="A239" t="s">
        <v>32</v>
      </c>
      <c r="B239" s="105" t="s">
        <v>30</v>
      </c>
      <c r="D239">
        <v>0</v>
      </c>
    </row>
  </sheetData>
  <sortState xmlns:xlrd2="http://schemas.microsoft.com/office/spreadsheetml/2017/richdata2" ref="A6:D239">
    <sortCondition ref="A6:A239"/>
    <sortCondition descending="1" ref="D6:D239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4538-201A-42EB-A97E-159DAC50978F}">
  <dimension ref="A1:M62"/>
  <sheetViews>
    <sheetView topLeftCell="A18" workbookViewId="0">
      <selection activeCell="A9" sqref="A9"/>
    </sheetView>
  </sheetViews>
  <sheetFormatPr defaultRowHeight="15"/>
  <cols>
    <col min="1" max="1" width="52.5703125" customWidth="1"/>
    <col min="6" max="6" width="35.42578125" customWidth="1"/>
    <col min="10" max="10" width="45.5703125" customWidth="1"/>
  </cols>
  <sheetData>
    <row r="1" spans="1:12">
      <c r="A1" s="331" t="s">
        <v>826</v>
      </c>
    </row>
    <row r="2" spans="1:12">
      <c r="A2" t="s">
        <v>827</v>
      </c>
      <c r="F2" t="s">
        <v>37</v>
      </c>
      <c r="J2" t="s">
        <v>782</v>
      </c>
    </row>
    <row r="3" spans="1:12" ht="18">
      <c r="A3" s="140" t="s">
        <v>828</v>
      </c>
      <c r="F3" s="140" t="s">
        <v>30</v>
      </c>
      <c r="J3" s="140" t="s">
        <v>84</v>
      </c>
    </row>
    <row r="4" spans="1:12" ht="18">
      <c r="A4" s="140" t="s">
        <v>829</v>
      </c>
      <c r="F4" s="140" t="s">
        <v>830</v>
      </c>
      <c r="J4" s="140" t="s">
        <v>829</v>
      </c>
    </row>
    <row r="5" spans="1:12" ht="35.25">
      <c r="A5" s="276" t="s">
        <v>831</v>
      </c>
      <c r="B5" s="14"/>
      <c r="C5" s="14">
        <v>13</v>
      </c>
      <c r="D5" s="14"/>
      <c r="E5" s="14"/>
      <c r="F5" s="276" t="s">
        <v>832</v>
      </c>
      <c r="G5" s="14"/>
      <c r="H5" s="14">
        <v>26</v>
      </c>
      <c r="J5" s="276" t="s">
        <v>833</v>
      </c>
      <c r="L5">
        <v>21</v>
      </c>
    </row>
    <row r="6" spans="1:12" ht="35.25">
      <c r="A6" s="276" t="s">
        <v>834</v>
      </c>
      <c r="B6" s="14"/>
      <c r="C6">
        <v>52</v>
      </c>
      <c r="F6" s="276" t="s">
        <v>835</v>
      </c>
      <c r="H6">
        <v>65</v>
      </c>
      <c r="J6" s="276" t="s">
        <v>836</v>
      </c>
      <c r="L6">
        <v>114</v>
      </c>
    </row>
    <row r="7" spans="1:12" ht="35.25">
      <c r="A7" s="276" t="s">
        <v>834</v>
      </c>
      <c r="B7" s="14"/>
      <c r="C7">
        <v>52</v>
      </c>
      <c r="F7" s="276" t="s">
        <v>837</v>
      </c>
      <c r="H7">
        <v>95</v>
      </c>
      <c r="J7" s="276" t="s">
        <v>836</v>
      </c>
      <c r="L7">
        <v>114</v>
      </c>
    </row>
    <row r="8" spans="1:12" ht="35.25">
      <c r="A8" s="276" t="s">
        <v>834</v>
      </c>
      <c r="B8" s="14"/>
      <c r="C8">
        <v>52</v>
      </c>
      <c r="F8" s="276" t="s">
        <v>838</v>
      </c>
      <c r="H8">
        <v>21</v>
      </c>
      <c r="J8" s="276" t="s">
        <v>839</v>
      </c>
      <c r="L8">
        <v>52</v>
      </c>
    </row>
    <row r="9" spans="1:12" ht="35.25">
      <c r="A9" s="276" t="s">
        <v>834</v>
      </c>
      <c r="B9" s="14"/>
      <c r="C9">
        <v>52</v>
      </c>
      <c r="F9" s="276" t="s">
        <v>838</v>
      </c>
      <c r="H9">
        <v>21</v>
      </c>
      <c r="J9" s="276" t="s">
        <v>840</v>
      </c>
      <c r="L9">
        <v>40</v>
      </c>
    </row>
    <row r="10" spans="1:12" ht="18">
      <c r="A10" s="276" t="s">
        <v>838</v>
      </c>
      <c r="C10">
        <v>21</v>
      </c>
      <c r="F10" s="276" t="s">
        <v>841</v>
      </c>
      <c r="H10">
        <v>36</v>
      </c>
      <c r="J10" s="276" t="s">
        <v>838</v>
      </c>
      <c r="L10">
        <v>21</v>
      </c>
    </row>
    <row r="11" spans="1:12" ht="18">
      <c r="A11" s="276" t="s">
        <v>838</v>
      </c>
      <c r="C11">
        <v>21</v>
      </c>
      <c r="H11">
        <f>SUM(H5:H10)</f>
        <v>264</v>
      </c>
      <c r="J11" s="276" t="s">
        <v>838</v>
      </c>
      <c r="L11">
        <v>21</v>
      </c>
    </row>
    <row r="12" spans="1:12" ht="18">
      <c r="A12" s="276" t="s">
        <v>842</v>
      </c>
      <c r="C12">
        <v>18</v>
      </c>
      <c r="J12" s="276" t="s">
        <v>843</v>
      </c>
      <c r="L12">
        <v>14</v>
      </c>
    </row>
    <row r="13" spans="1:12" ht="17.25">
      <c r="A13" s="140"/>
      <c r="C13">
        <f>SUM(C5:C12)</f>
        <v>281</v>
      </c>
      <c r="L13">
        <f>SUM(L5:L12)</f>
        <v>397</v>
      </c>
    </row>
    <row r="14" spans="1:12" ht="18">
      <c r="A14" s="140" t="s">
        <v>844</v>
      </c>
      <c r="F14" s="140" t="s">
        <v>845</v>
      </c>
      <c r="J14" s="140" t="s">
        <v>844</v>
      </c>
    </row>
    <row r="15" spans="1:12" ht="35.25">
      <c r="A15" s="276" t="s">
        <v>846</v>
      </c>
      <c r="C15">
        <v>21</v>
      </c>
      <c r="F15" s="276" t="s">
        <v>832</v>
      </c>
      <c r="H15">
        <v>26</v>
      </c>
      <c r="J15" s="276" t="s">
        <v>833</v>
      </c>
      <c r="L15">
        <v>21</v>
      </c>
    </row>
    <row r="16" spans="1:12" ht="35.25">
      <c r="A16" s="276" t="s">
        <v>834</v>
      </c>
      <c r="C16">
        <v>52</v>
      </c>
      <c r="F16" s="276" t="s">
        <v>835</v>
      </c>
      <c r="H16">
        <v>65</v>
      </c>
      <c r="J16" s="276" t="s">
        <v>847</v>
      </c>
      <c r="L16">
        <v>35</v>
      </c>
    </row>
    <row r="17" spans="1:12" ht="35.25">
      <c r="A17" s="276" t="s">
        <v>848</v>
      </c>
      <c r="C17">
        <v>76</v>
      </c>
      <c r="F17" s="276" t="s">
        <v>837</v>
      </c>
      <c r="H17">
        <v>95</v>
      </c>
      <c r="J17" s="276" t="s">
        <v>847</v>
      </c>
      <c r="L17">
        <v>35</v>
      </c>
    </row>
    <row r="18" spans="1:12" ht="35.25">
      <c r="A18" s="276" t="s">
        <v>838</v>
      </c>
      <c r="C18">
        <v>21</v>
      </c>
      <c r="F18" s="276" t="s">
        <v>838</v>
      </c>
      <c r="H18">
        <v>21</v>
      </c>
      <c r="J18" s="276" t="s">
        <v>839</v>
      </c>
      <c r="L18">
        <v>52</v>
      </c>
    </row>
    <row r="19" spans="1:12" ht="18">
      <c r="F19" s="276" t="s">
        <v>838</v>
      </c>
      <c r="H19">
        <v>21</v>
      </c>
      <c r="J19" s="276" t="s">
        <v>838</v>
      </c>
      <c r="L19">
        <v>21</v>
      </c>
    </row>
    <row r="20" spans="1:12" ht="18">
      <c r="A20" s="276"/>
      <c r="F20" s="276" t="s">
        <v>841</v>
      </c>
      <c r="H20">
        <v>36</v>
      </c>
      <c r="L20">
        <f>SUM(L15:L19)</f>
        <v>164</v>
      </c>
    </row>
    <row r="21" spans="1:12">
      <c r="C21">
        <f>SUM(C15:C20)</f>
        <v>170</v>
      </c>
      <c r="H21">
        <f>SUM(H15:H20)</f>
        <v>264</v>
      </c>
    </row>
    <row r="22" spans="1:12" ht="18">
      <c r="A22" s="140" t="s">
        <v>849</v>
      </c>
      <c r="F22" s="140" t="s">
        <v>16</v>
      </c>
      <c r="J22" s="140" t="s">
        <v>850</v>
      </c>
    </row>
    <row r="23" spans="1:12" ht="35.25">
      <c r="A23" s="276" t="s">
        <v>833</v>
      </c>
      <c r="C23">
        <v>21</v>
      </c>
      <c r="F23" s="276" t="s">
        <v>846</v>
      </c>
      <c r="H23">
        <v>21</v>
      </c>
      <c r="J23" s="276" t="s">
        <v>833</v>
      </c>
      <c r="L23">
        <v>21</v>
      </c>
    </row>
    <row r="24" spans="1:12" ht="35.25">
      <c r="A24" s="276" t="s">
        <v>851</v>
      </c>
      <c r="C24">
        <v>86</v>
      </c>
      <c r="F24" s="276" t="s">
        <v>852</v>
      </c>
      <c r="H24">
        <v>35</v>
      </c>
      <c r="J24" s="276" t="s">
        <v>853</v>
      </c>
      <c r="L24">
        <v>89</v>
      </c>
    </row>
    <row r="25" spans="1:12" ht="35.25">
      <c r="A25" s="276" t="s">
        <v>851</v>
      </c>
      <c r="C25">
        <v>86</v>
      </c>
      <c r="F25" s="276" t="s">
        <v>852</v>
      </c>
      <c r="H25">
        <v>35</v>
      </c>
      <c r="J25" s="276" t="s">
        <v>853</v>
      </c>
      <c r="L25">
        <v>89</v>
      </c>
    </row>
    <row r="26" spans="1:12" ht="18">
      <c r="A26" s="276"/>
      <c r="F26" s="276" t="s">
        <v>852</v>
      </c>
      <c r="H26">
        <v>35</v>
      </c>
      <c r="J26" s="276" t="s">
        <v>854</v>
      </c>
      <c r="L26">
        <v>66</v>
      </c>
    </row>
    <row r="27" spans="1:12" ht="18">
      <c r="A27" s="276" t="s">
        <v>838</v>
      </c>
      <c r="C27">
        <v>21</v>
      </c>
      <c r="F27" s="276" t="s">
        <v>838</v>
      </c>
      <c r="H27">
        <v>21</v>
      </c>
      <c r="L27">
        <f>SUM(L23:L26)</f>
        <v>265</v>
      </c>
    </row>
    <row r="28" spans="1:12" ht="18">
      <c r="A28" s="276"/>
      <c r="F28" s="276" t="s">
        <v>838</v>
      </c>
      <c r="H28">
        <v>21</v>
      </c>
    </row>
    <row r="29" spans="1:12" ht="18">
      <c r="C29">
        <f>SUM(C23:C28)</f>
        <v>214</v>
      </c>
      <c r="F29" s="276" t="s">
        <v>838</v>
      </c>
      <c r="H29">
        <v>21</v>
      </c>
    </row>
    <row r="30" spans="1:12" ht="18">
      <c r="F30" s="276" t="s">
        <v>838</v>
      </c>
      <c r="H30">
        <v>21</v>
      </c>
    </row>
    <row r="31" spans="1:12" ht="18">
      <c r="F31" s="276" t="s">
        <v>841</v>
      </c>
      <c r="H31">
        <v>36</v>
      </c>
    </row>
    <row r="32" spans="1:12">
      <c r="H32">
        <f>SUM(H23:H31)</f>
        <v>246</v>
      </c>
    </row>
    <row r="33" spans="1:13" ht="18">
      <c r="A33" s="140" t="s">
        <v>25</v>
      </c>
      <c r="F33" s="140" t="s">
        <v>25</v>
      </c>
      <c r="J33" s="140" t="s">
        <v>855</v>
      </c>
    </row>
    <row r="34" spans="1:13" ht="35.25">
      <c r="A34" s="140" t="s">
        <v>856</v>
      </c>
      <c r="C34">
        <v>95</v>
      </c>
      <c r="F34" s="276" t="s">
        <v>857</v>
      </c>
      <c r="H34">
        <v>115</v>
      </c>
      <c r="J34" s="276" t="s">
        <v>858</v>
      </c>
      <c r="L34">
        <v>77</v>
      </c>
    </row>
    <row r="35" spans="1:13" ht="18">
      <c r="A35" s="140" t="s">
        <v>859</v>
      </c>
      <c r="C35">
        <v>85</v>
      </c>
      <c r="F35" s="276" t="s">
        <v>860</v>
      </c>
      <c r="H35">
        <v>105</v>
      </c>
      <c r="J35" s="140" t="s">
        <v>26</v>
      </c>
    </row>
    <row r="36" spans="1:13" ht="35.25">
      <c r="A36" s="140" t="s">
        <v>859</v>
      </c>
      <c r="C36">
        <v>85</v>
      </c>
      <c r="F36" s="276" t="s">
        <v>860</v>
      </c>
      <c r="H36">
        <v>105</v>
      </c>
      <c r="J36" s="276" t="s">
        <v>861</v>
      </c>
      <c r="L36">
        <v>67</v>
      </c>
    </row>
    <row r="37" spans="1:13" ht="18">
      <c r="A37" s="140" t="s">
        <v>859</v>
      </c>
      <c r="C37">
        <v>85</v>
      </c>
      <c r="F37" s="140" t="s">
        <v>862</v>
      </c>
      <c r="H37">
        <f>SUM(H34:H36)</f>
        <v>325</v>
      </c>
      <c r="J37" s="276" t="s">
        <v>863</v>
      </c>
      <c r="L37">
        <v>130</v>
      </c>
    </row>
    <row r="38" spans="1:13" ht="18">
      <c r="A38" s="140" t="s">
        <v>859</v>
      </c>
      <c r="C38">
        <v>85</v>
      </c>
      <c r="J38" s="140" t="s">
        <v>864</v>
      </c>
      <c r="L38">
        <f>SUM(L34:L37)</f>
        <v>274</v>
      </c>
    </row>
    <row r="39" spans="1:13" ht="76.5">
      <c r="A39" s="140"/>
      <c r="C39">
        <f>SUM(C34:C38)</f>
        <v>435</v>
      </c>
      <c r="F39" s="109"/>
      <c r="G39" s="110"/>
      <c r="H39" s="92" t="s">
        <v>274</v>
      </c>
      <c r="I39" s="108"/>
      <c r="J39" s="109"/>
      <c r="K39" s="110"/>
      <c r="L39" s="92" t="s">
        <v>274</v>
      </c>
      <c r="M39" s="108"/>
    </row>
    <row r="40" spans="1:13">
      <c r="F40" s="67" t="s">
        <v>275</v>
      </c>
      <c r="G40" s="104" t="s">
        <v>43</v>
      </c>
      <c r="H40" s="85"/>
      <c r="I40" s="108"/>
      <c r="J40" s="67" t="s">
        <v>275</v>
      </c>
      <c r="K40" s="104" t="s">
        <v>43</v>
      </c>
      <c r="L40" s="85"/>
      <c r="M40" s="108"/>
    </row>
    <row r="41" spans="1:13" ht="76.5">
      <c r="A41" s="109"/>
      <c r="B41" s="110"/>
      <c r="C41" s="92" t="s">
        <v>274</v>
      </c>
      <c r="D41" s="334"/>
      <c r="E41" s="108"/>
      <c r="F41" s="67" t="s">
        <v>277</v>
      </c>
      <c r="G41" s="104"/>
      <c r="H41" s="85"/>
      <c r="I41" s="108"/>
      <c r="J41" s="67" t="s">
        <v>277</v>
      </c>
      <c r="K41" s="104"/>
      <c r="L41" s="85"/>
      <c r="M41" s="108"/>
    </row>
    <row r="42" spans="1:13">
      <c r="A42" s="67" t="s">
        <v>275</v>
      </c>
      <c r="B42" s="104" t="s">
        <v>43</v>
      </c>
      <c r="C42" s="85"/>
      <c r="D42" s="108"/>
      <c r="E42" s="108"/>
      <c r="F42" s="67" t="s">
        <v>278</v>
      </c>
      <c r="G42" s="111">
        <v>2</v>
      </c>
      <c r="H42" s="85"/>
      <c r="I42" s="108"/>
      <c r="J42" s="67" t="s">
        <v>278</v>
      </c>
      <c r="K42" s="111">
        <v>2</v>
      </c>
      <c r="L42" s="85"/>
      <c r="M42" s="108"/>
    </row>
    <row r="43" spans="1:13">
      <c r="A43" s="67" t="s">
        <v>277</v>
      </c>
      <c r="B43" s="104"/>
      <c r="C43" s="85"/>
      <c r="D43" s="108"/>
      <c r="E43" s="108"/>
      <c r="F43" s="67" t="s">
        <v>282</v>
      </c>
      <c r="G43" s="104" t="s">
        <v>30</v>
      </c>
      <c r="H43" s="85"/>
      <c r="I43" s="108"/>
      <c r="J43" s="67" t="s">
        <v>282</v>
      </c>
      <c r="K43" s="104" t="s">
        <v>34</v>
      </c>
      <c r="L43" s="85"/>
      <c r="M43" s="108"/>
    </row>
    <row r="44" spans="1:13">
      <c r="A44" s="67" t="s">
        <v>278</v>
      </c>
      <c r="B44" s="111">
        <v>2</v>
      </c>
      <c r="C44" s="85"/>
      <c r="D44" s="108"/>
      <c r="E44" s="108"/>
      <c r="F44" s="67"/>
      <c r="G44" s="84"/>
      <c r="H44" s="85"/>
      <c r="I44" s="108"/>
      <c r="J44" s="67"/>
      <c r="K44" s="84"/>
      <c r="L44" s="85"/>
      <c r="M44" s="108"/>
    </row>
    <row r="45" spans="1:13">
      <c r="A45" s="67" t="s">
        <v>282</v>
      </c>
      <c r="B45" s="104" t="s">
        <v>30</v>
      </c>
      <c r="C45" s="85"/>
      <c r="D45" s="108"/>
      <c r="E45" s="108"/>
      <c r="F45" s="112" t="s">
        <v>284</v>
      </c>
      <c r="G45" s="112"/>
      <c r="H45" s="112"/>
      <c r="I45" s="108"/>
      <c r="J45" s="112" t="s">
        <v>284</v>
      </c>
      <c r="K45" s="112"/>
      <c r="L45" s="112"/>
      <c r="M45" s="108"/>
    </row>
    <row r="46" spans="1:13">
      <c r="A46" s="67"/>
      <c r="B46" s="84"/>
      <c r="C46" s="85"/>
      <c r="D46" s="108"/>
      <c r="E46" s="108"/>
      <c r="F46" s="112"/>
      <c r="G46" s="112" t="s">
        <v>285</v>
      </c>
      <c r="H46" s="112" t="s">
        <v>15</v>
      </c>
      <c r="I46" s="112" t="s">
        <v>5</v>
      </c>
      <c r="J46" s="112"/>
      <c r="K46" s="112" t="s">
        <v>285</v>
      </c>
      <c r="L46" s="112" t="s">
        <v>15</v>
      </c>
      <c r="M46" s="112" t="s">
        <v>5</v>
      </c>
    </row>
    <row r="47" spans="1:13">
      <c r="A47" s="112" t="s">
        <v>284</v>
      </c>
      <c r="B47" s="112"/>
      <c r="C47" s="112"/>
      <c r="D47" s="335"/>
      <c r="E47" s="108"/>
      <c r="F47" s="113" t="s">
        <v>393</v>
      </c>
      <c r="G47" s="113"/>
      <c r="H47" s="113"/>
      <c r="I47" s="113"/>
      <c r="J47" s="113" t="s">
        <v>393</v>
      </c>
      <c r="K47" s="113"/>
      <c r="L47" s="113"/>
      <c r="M47" s="113"/>
    </row>
    <row r="48" spans="1:13">
      <c r="A48" s="112"/>
      <c r="B48" s="112" t="s">
        <v>285</v>
      </c>
      <c r="C48" s="112" t="s">
        <v>15</v>
      </c>
      <c r="D48" s="112"/>
      <c r="E48" s="112" t="s">
        <v>5</v>
      </c>
      <c r="F48" s="113" t="s">
        <v>286</v>
      </c>
      <c r="G48" s="113">
        <f>H11</f>
        <v>264</v>
      </c>
      <c r="H48" s="113">
        <v>6</v>
      </c>
      <c r="I48" s="113"/>
      <c r="J48" s="113" t="s">
        <v>286</v>
      </c>
      <c r="K48" s="113">
        <f>L13</f>
        <v>397</v>
      </c>
      <c r="L48" s="113">
        <v>8</v>
      </c>
      <c r="M48" s="113"/>
    </row>
    <row r="49" spans="1:13">
      <c r="A49" s="113" t="s">
        <v>393</v>
      </c>
      <c r="B49" s="113"/>
      <c r="C49" s="113"/>
      <c r="D49" s="113"/>
      <c r="E49" s="113"/>
      <c r="F49" s="113" t="s">
        <v>287</v>
      </c>
      <c r="G49" s="113">
        <f>H21</f>
        <v>264</v>
      </c>
      <c r="H49" s="113">
        <v>6</v>
      </c>
      <c r="I49" s="113"/>
      <c r="J49" s="113" t="s">
        <v>287</v>
      </c>
      <c r="K49" s="113">
        <f>L20</f>
        <v>164</v>
      </c>
      <c r="L49" s="113">
        <v>5</v>
      </c>
      <c r="M49" s="113"/>
    </row>
    <row r="50" spans="1:13">
      <c r="A50" s="113" t="s">
        <v>286</v>
      </c>
      <c r="B50" s="113">
        <f>C13</f>
        <v>281</v>
      </c>
      <c r="C50" s="113">
        <v>6</v>
      </c>
      <c r="D50" s="113"/>
      <c r="E50" s="113"/>
      <c r="F50" s="113" t="s">
        <v>289</v>
      </c>
      <c r="G50" s="113">
        <f>H32</f>
        <v>246</v>
      </c>
      <c r="H50" s="113">
        <v>9</v>
      </c>
      <c r="I50" s="113"/>
      <c r="J50" s="113" t="s">
        <v>289</v>
      </c>
      <c r="K50" s="113">
        <f>L32</f>
        <v>0</v>
      </c>
      <c r="L50" s="113"/>
      <c r="M50" s="113"/>
    </row>
    <row r="51" spans="1:13">
      <c r="A51" s="113" t="s">
        <v>287</v>
      </c>
      <c r="B51" s="113">
        <f>C21</f>
        <v>170</v>
      </c>
      <c r="C51" s="113">
        <v>6</v>
      </c>
      <c r="D51" s="113"/>
      <c r="E51" s="113"/>
      <c r="F51" s="113" t="s">
        <v>396</v>
      </c>
      <c r="G51" s="113">
        <v>0</v>
      </c>
      <c r="H51" s="113">
        <v>0</v>
      </c>
      <c r="I51" s="113"/>
      <c r="J51" s="113" t="s">
        <v>396</v>
      </c>
      <c r="K51" s="113">
        <v>0</v>
      </c>
      <c r="L51" s="113"/>
      <c r="M51" s="113"/>
    </row>
    <row r="52" spans="1:13">
      <c r="A52" s="113" t="s">
        <v>865</v>
      </c>
      <c r="B52" s="113">
        <f>C29</f>
        <v>214</v>
      </c>
      <c r="C52" s="113">
        <v>9</v>
      </c>
      <c r="D52" s="113"/>
      <c r="E52" s="113"/>
      <c r="F52" s="113" t="s">
        <v>397</v>
      </c>
      <c r="G52" s="113">
        <v>0</v>
      </c>
      <c r="H52" s="113">
        <v>0</v>
      </c>
      <c r="I52" s="113"/>
      <c r="J52" s="113" t="s">
        <v>397</v>
      </c>
      <c r="K52" s="113">
        <f>L27</f>
        <v>265</v>
      </c>
      <c r="L52" s="113">
        <v>4</v>
      </c>
      <c r="M52" s="113"/>
    </row>
    <row r="53" spans="1:13">
      <c r="A53" s="113" t="s">
        <v>396</v>
      </c>
      <c r="B53" s="113">
        <v>0</v>
      </c>
      <c r="C53" s="113">
        <v>0</v>
      </c>
      <c r="D53" s="113"/>
      <c r="E53" s="113"/>
      <c r="F53" s="113" t="s">
        <v>291</v>
      </c>
      <c r="G53" s="113">
        <v>0</v>
      </c>
      <c r="H53" s="113">
        <v>0</v>
      </c>
      <c r="I53" s="113"/>
      <c r="J53" s="113" t="s">
        <v>291</v>
      </c>
      <c r="K53" s="113">
        <v>0</v>
      </c>
      <c r="L53" s="113"/>
      <c r="M53" s="113"/>
    </row>
    <row r="54" spans="1:13">
      <c r="A54" s="113" t="s">
        <v>397</v>
      </c>
      <c r="B54" s="113">
        <v>0</v>
      </c>
      <c r="C54" s="113">
        <v>0</v>
      </c>
      <c r="D54" s="113"/>
      <c r="E54" s="113"/>
      <c r="F54" s="113" t="s">
        <v>288</v>
      </c>
      <c r="G54" s="113"/>
      <c r="H54" s="113"/>
      <c r="I54" s="113"/>
      <c r="J54" s="113" t="s">
        <v>288</v>
      </c>
      <c r="K54" s="113"/>
      <c r="L54" s="113"/>
      <c r="M54" s="113"/>
    </row>
    <row r="55" spans="1:13">
      <c r="A55" s="113" t="s">
        <v>291</v>
      </c>
      <c r="B55" s="113">
        <v>0</v>
      </c>
      <c r="C55" s="113">
        <v>0</v>
      </c>
      <c r="D55" s="113"/>
      <c r="E55" s="113"/>
      <c r="F55" s="113" t="s">
        <v>398</v>
      </c>
      <c r="H55" s="113"/>
      <c r="I55" s="113"/>
      <c r="J55" s="113" t="s">
        <v>398</v>
      </c>
      <c r="L55" s="113"/>
      <c r="M55" s="113"/>
    </row>
    <row r="56" spans="1:13">
      <c r="A56" s="113" t="s">
        <v>288</v>
      </c>
      <c r="B56" s="113"/>
      <c r="C56" s="113"/>
      <c r="D56" s="113"/>
      <c r="E56" s="113"/>
      <c r="F56" s="113" t="s">
        <v>290</v>
      </c>
      <c r="G56" s="113">
        <f>H37</f>
        <v>325</v>
      </c>
      <c r="H56" s="113">
        <v>3</v>
      </c>
      <c r="I56" s="113"/>
      <c r="J56" s="113" t="s">
        <v>290</v>
      </c>
      <c r="K56" s="113">
        <f>L38</f>
        <v>274</v>
      </c>
      <c r="L56" s="113">
        <v>3</v>
      </c>
      <c r="M56" s="113"/>
    </row>
    <row r="57" spans="1:13">
      <c r="A57" s="113" t="s">
        <v>398</v>
      </c>
      <c r="C57" s="113"/>
      <c r="D57" s="113"/>
      <c r="E57" s="113"/>
      <c r="F57" s="113" t="s">
        <v>399</v>
      </c>
      <c r="G57" s="113">
        <v>0</v>
      </c>
      <c r="H57" s="113">
        <v>0</v>
      </c>
      <c r="I57" s="113"/>
      <c r="J57" s="113" t="s">
        <v>399</v>
      </c>
      <c r="K57" s="113">
        <v>0</v>
      </c>
      <c r="L57" s="113"/>
      <c r="M57" s="113"/>
    </row>
    <row r="58" spans="1:13">
      <c r="A58" s="113" t="s">
        <v>290</v>
      </c>
      <c r="B58" s="113">
        <f>C39</f>
        <v>435</v>
      </c>
      <c r="C58" s="113">
        <v>3</v>
      </c>
      <c r="D58" s="113"/>
      <c r="E58" s="113"/>
      <c r="F58" s="113" t="s">
        <v>400</v>
      </c>
      <c r="G58" s="113">
        <v>0</v>
      </c>
      <c r="H58" s="113">
        <v>0</v>
      </c>
      <c r="I58" s="113"/>
      <c r="J58" s="113" t="s">
        <v>400</v>
      </c>
      <c r="K58" s="113">
        <v>0</v>
      </c>
      <c r="L58" s="113"/>
      <c r="M58" s="113"/>
    </row>
    <row r="59" spans="1:13">
      <c r="A59" s="113" t="s">
        <v>399</v>
      </c>
      <c r="B59" s="113">
        <v>0</v>
      </c>
      <c r="C59" s="113">
        <v>0</v>
      </c>
      <c r="D59" s="113"/>
      <c r="E59" s="113"/>
      <c r="F59" s="113" t="s">
        <v>400</v>
      </c>
      <c r="G59" s="113">
        <v>0</v>
      </c>
      <c r="H59" s="113">
        <v>0</v>
      </c>
      <c r="I59" s="113"/>
      <c r="J59" s="113" t="s">
        <v>400</v>
      </c>
      <c r="K59" s="113">
        <v>0</v>
      </c>
      <c r="L59" s="113"/>
      <c r="M59" s="113"/>
    </row>
    <row r="60" spans="1:13">
      <c r="A60" s="113" t="s">
        <v>400</v>
      </c>
      <c r="B60" s="113">
        <v>0</v>
      </c>
      <c r="C60" s="113">
        <v>0</v>
      </c>
      <c r="D60" s="113"/>
      <c r="E60" s="113"/>
      <c r="F60" s="113"/>
      <c r="G60" s="112">
        <f>SUM(G48:G59)</f>
        <v>1099</v>
      </c>
      <c r="H60" s="112">
        <f>SUM(H48:H59)</f>
        <v>24</v>
      </c>
      <c r="I60" s="113"/>
      <c r="J60" s="113"/>
      <c r="K60" s="112">
        <f>SUM(K48:K59)</f>
        <v>1100</v>
      </c>
      <c r="L60" s="112">
        <f>SUM(L48:L59)</f>
        <v>20</v>
      </c>
      <c r="M60" s="113"/>
    </row>
    <row r="61" spans="1:13">
      <c r="A61" s="113" t="s">
        <v>400</v>
      </c>
      <c r="B61" s="113">
        <v>0</v>
      </c>
      <c r="C61" s="113">
        <v>0</v>
      </c>
      <c r="D61" s="113"/>
      <c r="E61" s="113"/>
    </row>
    <row r="62" spans="1:13">
      <c r="A62" s="113"/>
      <c r="B62" s="112">
        <f>SUM(B50:B61)</f>
        <v>1100</v>
      </c>
      <c r="C62" s="112">
        <f>SUM(C50:C61)</f>
        <v>24</v>
      </c>
      <c r="D62" s="112"/>
      <c r="E62" s="1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3B65-21E4-4228-9DB9-288F6AF9C4A6}">
  <dimension ref="A1:V104"/>
  <sheetViews>
    <sheetView topLeftCell="P38" workbookViewId="0">
      <selection activeCell="S39" sqref="S39:S40"/>
    </sheetView>
  </sheetViews>
  <sheetFormatPr defaultRowHeight="15"/>
  <cols>
    <col min="1" max="1" width="26.5703125" bestFit="1" customWidth="1"/>
    <col min="2" max="2" width="19.140625" bestFit="1" customWidth="1"/>
    <col min="3" max="3" width="31.7109375" bestFit="1" customWidth="1"/>
    <col min="9" max="9" width="26.5703125" bestFit="1" customWidth="1"/>
    <col min="10" max="10" width="19.140625" bestFit="1" customWidth="1"/>
    <col min="11" max="11" width="31.7109375" bestFit="1" customWidth="1"/>
    <col min="17" max="17" width="26.5703125" bestFit="1" customWidth="1"/>
    <col min="19" max="19" width="40.28515625" bestFit="1" customWidth="1"/>
  </cols>
  <sheetData>
    <row r="1" spans="1:22">
      <c r="C1" t="s">
        <v>37</v>
      </c>
      <c r="K1" s="252"/>
      <c r="S1" t="s">
        <v>866</v>
      </c>
    </row>
    <row r="2" spans="1:22">
      <c r="A2" t="s">
        <v>31</v>
      </c>
      <c r="B2" t="s">
        <v>867</v>
      </c>
      <c r="C2" t="s">
        <v>868</v>
      </c>
      <c r="I2" t="s">
        <v>35</v>
      </c>
      <c r="J2" t="s">
        <v>867</v>
      </c>
      <c r="K2" t="s">
        <v>868</v>
      </c>
      <c r="Q2" t="s">
        <v>32</v>
      </c>
      <c r="R2" t="s">
        <v>867</v>
      </c>
      <c r="S2" t="s">
        <v>89</v>
      </c>
    </row>
    <row r="3" spans="1:22" ht="45.75">
      <c r="A3" s="85"/>
      <c r="B3" s="43" t="s">
        <v>215</v>
      </c>
      <c r="C3" s="65" t="s">
        <v>216</v>
      </c>
      <c r="D3" s="233" t="s">
        <v>217</v>
      </c>
      <c r="E3" s="65" t="s">
        <v>218</v>
      </c>
      <c r="I3" s="85"/>
      <c r="J3" s="43" t="s">
        <v>215</v>
      </c>
      <c r="K3" s="65" t="s">
        <v>216</v>
      </c>
      <c r="L3" s="233" t="s">
        <v>217</v>
      </c>
      <c r="M3" s="65" t="s">
        <v>218</v>
      </c>
      <c r="Q3" s="85"/>
      <c r="R3" s="43" t="s">
        <v>215</v>
      </c>
      <c r="S3" s="65" t="s">
        <v>216</v>
      </c>
      <c r="T3" s="233" t="s">
        <v>217</v>
      </c>
      <c r="U3" s="65" t="s">
        <v>218</v>
      </c>
    </row>
    <row r="4" spans="1:22">
      <c r="A4" s="65" t="s">
        <v>296</v>
      </c>
      <c r="B4" s="125"/>
      <c r="C4" s="234"/>
      <c r="D4" s="235"/>
      <c r="E4" s="234"/>
      <c r="I4" s="65" t="s">
        <v>296</v>
      </c>
      <c r="J4" s="125"/>
      <c r="K4" s="234"/>
      <c r="L4" s="235"/>
      <c r="M4" s="234"/>
      <c r="Q4" s="65" t="s">
        <v>296</v>
      </c>
      <c r="R4" s="125"/>
      <c r="S4" s="234"/>
      <c r="T4" s="235"/>
      <c r="U4" s="234"/>
    </row>
    <row r="5" spans="1:22">
      <c r="A5" s="234" t="s">
        <v>220</v>
      </c>
      <c r="B5" s="111" t="s">
        <v>249</v>
      </c>
      <c r="C5" s="234" t="s">
        <v>297</v>
      </c>
      <c r="D5" s="115" t="s">
        <v>142</v>
      </c>
      <c r="E5" s="114">
        <v>6</v>
      </c>
      <c r="F5" t="s">
        <v>869</v>
      </c>
      <c r="I5" s="234" t="s">
        <v>220</v>
      </c>
      <c r="J5" s="111" t="s">
        <v>162</v>
      </c>
      <c r="K5" s="234" t="s">
        <v>870</v>
      </c>
      <c r="L5" s="115" t="s">
        <v>142</v>
      </c>
      <c r="M5" s="114">
        <v>50</v>
      </c>
      <c r="Q5" s="234" t="s">
        <v>220</v>
      </c>
      <c r="R5" s="111" t="s">
        <v>100</v>
      </c>
      <c r="S5" s="234" t="s">
        <v>871</v>
      </c>
      <c r="T5" s="115" t="s">
        <v>78</v>
      </c>
      <c r="U5" s="114">
        <v>13</v>
      </c>
      <c r="V5" t="s">
        <v>346</v>
      </c>
    </row>
    <row r="6" spans="1:22">
      <c r="A6" s="234" t="s">
        <v>226</v>
      </c>
      <c r="B6" s="111" t="s">
        <v>162</v>
      </c>
      <c r="C6" s="255" t="s">
        <v>872</v>
      </c>
      <c r="D6" s="117" t="s">
        <v>142</v>
      </c>
      <c r="E6" s="114">
        <v>65</v>
      </c>
      <c r="I6" s="234" t="s">
        <v>226</v>
      </c>
      <c r="J6" s="111" t="s">
        <v>162</v>
      </c>
      <c r="K6" s="255" t="s">
        <v>873</v>
      </c>
      <c r="L6" s="117" t="s">
        <v>142</v>
      </c>
      <c r="M6" s="114">
        <v>98</v>
      </c>
      <c r="Q6" s="234" t="s">
        <v>226</v>
      </c>
      <c r="R6" s="111" t="s">
        <v>162</v>
      </c>
      <c r="S6" s="255" t="s">
        <v>874</v>
      </c>
      <c r="T6" s="117" t="s">
        <v>78</v>
      </c>
      <c r="U6" s="114">
        <v>66</v>
      </c>
    </row>
    <row r="7" spans="1:22">
      <c r="A7" s="234" t="s">
        <v>232</v>
      </c>
      <c r="B7" s="111" t="s">
        <v>162</v>
      </c>
      <c r="C7" s="255" t="s">
        <v>872</v>
      </c>
      <c r="D7" s="117" t="s">
        <v>142</v>
      </c>
      <c r="E7" s="114">
        <v>65</v>
      </c>
      <c r="I7" s="234" t="s">
        <v>232</v>
      </c>
      <c r="J7" s="111" t="s">
        <v>162</v>
      </c>
      <c r="K7" s="255" t="s">
        <v>875</v>
      </c>
      <c r="L7" s="117" t="s">
        <v>142</v>
      </c>
      <c r="M7" s="114">
        <v>68</v>
      </c>
      <c r="Q7" s="234" t="s">
        <v>232</v>
      </c>
      <c r="R7" s="111" t="s">
        <v>162</v>
      </c>
      <c r="S7" s="255" t="s">
        <v>874</v>
      </c>
      <c r="T7" s="117" t="s">
        <v>78</v>
      </c>
      <c r="U7" s="114">
        <v>66</v>
      </c>
    </row>
    <row r="8" spans="1:22">
      <c r="A8" s="234"/>
      <c r="B8" s="84"/>
      <c r="C8" s="85"/>
      <c r="D8" s="86"/>
      <c r="E8" s="85"/>
      <c r="I8" s="234"/>
      <c r="J8" s="84"/>
      <c r="K8" s="85"/>
      <c r="L8" s="86"/>
      <c r="M8" s="85"/>
      <c r="Q8" s="234"/>
      <c r="R8" s="84"/>
      <c r="S8" s="85"/>
      <c r="T8" s="86"/>
      <c r="U8" s="85"/>
    </row>
    <row r="9" spans="1:22">
      <c r="A9" s="65" t="s">
        <v>234</v>
      </c>
      <c r="B9" s="84"/>
      <c r="C9" s="85"/>
      <c r="D9" s="86"/>
      <c r="E9" s="85"/>
      <c r="I9" s="65" t="s">
        <v>234</v>
      </c>
      <c r="J9" s="84"/>
      <c r="K9" s="85"/>
      <c r="L9" s="86"/>
      <c r="M9" s="85"/>
      <c r="Q9" s="65" t="s">
        <v>234</v>
      </c>
      <c r="R9" s="84"/>
      <c r="S9" s="85"/>
      <c r="T9" s="86"/>
      <c r="U9" s="85"/>
    </row>
    <row r="10" spans="1:22">
      <c r="A10" s="234" t="s">
        <v>303</v>
      </c>
      <c r="B10" s="111" t="s">
        <v>162</v>
      </c>
      <c r="C10" s="255" t="s">
        <v>872</v>
      </c>
      <c r="D10" s="117" t="s">
        <v>142</v>
      </c>
      <c r="E10" s="114">
        <v>65</v>
      </c>
      <c r="I10" s="234" t="s">
        <v>303</v>
      </c>
      <c r="J10" s="111"/>
      <c r="K10" s="116"/>
      <c r="L10" s="117"/>
      <c r="M10" s="114"/>
      <c r="Q10" s="234" t="s">
        <v>303</v>
      </c>
      <c r="R10" s="111" t="s">
        <v>162</v>
      </c>
      <c r="S10" s="255" t="s">
        <v>874</v>
      </c>
      <c r="T10" s="117" t="s">
        <v>78</v>
      </c>
      <c r="U10" s="114">
        <v>66</v>
      </c>
    </row>
    <row r="11" spans="1:22">
      <c r="A11" s="234" t="s">
        <v>303</v>
      </c>
      <c r="B11" s="111" t="s">
        <v>162</v>
      </c>
      <c r="C11" s="255" t="s">
        <v>872</v>
      </c>
      <c r="D11" s="117" t="s">
        <v>142</v>
      </c>
      <c r="E11" s="114">
        <v>65</v>
      </c>
      <c r="I11" s="234" t="s">
        <v>303</v>
      </c>
      <c r="J11" s="111"/>
      <c r="K11" s="116"/>
      <c r="L11" s="117"/>
      <c r="M11" s="114"/>
      <c r="Q11" s="234" t="s">
        <v>303</v>
      </c>
      <c r="R11" s="111" t="s">
        <v>162</v>
      </c>
      <c r="S11" s="255" t="s">
        <v>876</v>
      </c>
      <c r="T11" s="117" t="s">
        <v>78</v>
      </c>
      <c r="U11" s="114">
        <v>60</v>
      </c>
    </row>
    <row r="12" spans="1:22">
      <c r="A12" s="234" t="s">
        <v>305</v>
      </c>
      <c r="B12" s="84"/>
      <c r="C12" s="85"/>
      <c r="D12" s="86"/>
      <c r="E12" s="85"/>
      <c r="I12" s="234" t="s">
        <v>305</v>
      </c>
      <c r="J12" s="84"/>
      <c r="K12" s="85"/>
      <c r="L12" s="86"/>
      <c r="M12" s="85"/>
      <c r="Q12" s="234" t="s">
        <v>305</v>
      </c>
      <c r="R12" s="84"/>
      <c r="S12" s="85"/>
      <c r="T12" s="86"/>
      <c r="U12" s="85"/>
    </row>
    <row r="13" spans="1:22">
      <c r="A13" s="234" t="s">
        <v>306</v>
      </c>
      <c r="B13" s="84"/>
      <c r="C13" s="85"/>
      <c r="D13" s="86"/>
      <c r="E13" s="85"/>
      <c r="I13" s="234" t="s">
        <v>306</v>
      </c>
      <c r="J13" s="84"/>
      <c r="K13" s="85"/>
      <c r="L13" s="86"/>
      <c r="M13" s="85"/>
      <c r="Q13" s="234" t="s">
        <v>306</v>
      </c>
      <c r="R13" s="84"/>
      <c r="S13" s="85"/>
      <c r="T13" s="86"/>
      <c r="U13" s="85"/>
    </row>
    <row r="14" spans="1:22">
      <c r="A14" s="234" t="s">
        <v>309</v>
      </c>
      <c r="B14" s="84"/>
      <c r="C14" s="85"/>
      <c r="D14" s="86"/>
      <c r="E14" s="85"/>
      <c r="I14" s="234" t="s">
        <v>309</v>
      </c>
      <c r="J14" s="84"/>
      <c r="K14" s="85"/>
      <c r="L14" s="86"/>
      <c r="M14" s="85"/>
      <c r="Q14" s="234" t="s">
        <v>309</v>
      </c>
      <c r="R14" s="84"/>
      <c r="S14" s="85"/>
      <c r="T14" s="86"/>
      <c r="U14" s="85"/>
    </row>
    <row r="15" spans="1:22">
      <c r="A15" s="234" t="s">
        <v>309</v>
      </c>
      <c r="B15" s="84"/>
      <c r="C15" s="85"/>
      <c r="D15" s="86"/>
      <c r="E15" s="85"/>
      <c r="I15" s="234" t="s">
        <v>309</v>
      </c>
      <c r="J15" s="84"/>
      <c r="K15" s="85"/>
      <c r="L15" s="86"/>
      <c r="M15" s="85"/>
      <c r="Q15" s="234" t="s">
        <v>309</v>
      </c>
      <c r="R15" s="84"/>
      <c r="S15" s="85"/>
      <c r="T15" s="86"/>
      <c r="U15" s="85"/>
    </row>
    <row r="16" spans="1:22">
      <c r="A16" s="234" t="s">
        <v>310</v>
      </c>
      <c r="B16" s="84"/>
      <c r="C16" s="85"/>
      <c r="D16" s="86"/>
      <c r="E16" s="85"/>
      <c r="I16" s="234" t="s">
        <v>310</v>
      </c>
      <c r="J16" s="84"/>
      <c r="K16" s="85"/>
      <c r="L16" s="86"/>
      <c r="M16" s="85"/>
      <c r="Q16" s="234" t="s">
        <v>310</v>
      </c>
      <c r="R16" s="84"/>
      <c r="S16" s="85"/>
      <c r="T16" s="86"/>
      <c r="U16" s="85"/>
    </row>
    <row r="17" spans="1:21">
      <c r="A17" s="234" t="s">
        <v>235</v>
      </c>
      <c r="B17" s="84"/>
      <c r="C17" s="85"/>
      <c r="D17" s="86"/>
      <c r="E17" s="85"/>
      <c r="I17" s="234" t="s">
        <v>235</v>
      </c>
      <c r="J17" s="84" t="s">
        <v>162</v>
      </c>
      <c r="K17" s="234" t="s">
        <v>877</v>
      </c>
      <c r="L17" s="86" t="s">
        <v>142</v>
      </c>
      <c r="M17" s="85">
        <v>25</v>
      </c>
      <c r="Q17" s="234" t="s">
        <v>235</v>
      </c>
      <c r="R17" s="84"/>
      <c r="S17" s="85"/>
      <c r="T17" s="86"/>
      <c r="U17" s="85"/>
    </row>
    <row r="18" spans="1:21">
      <c r="A18" s="234" t="s">
        <v>240</v>
      </c>
      <c r="B18" s="84"/>
      <c r="C18" s="85"/>
      <c r="D18" s="86"/>
      <c r="E18" s="85"/>
      <c r="I18" s="234" t="s">
        <v>240</v>
      </c>
      <c r="J18" s="84" t="s">
        <v>124</v>
      </c>
      <c r="K18" s="234" t="s">
        <v>878</v>
      </c>
      <c r="L18" s="86" t="s">
        <v>142</v>
      </c>
      <c r="M18" s="85">
        <v>19</v>
      </c>
      <c r="Q18" s="234" t="s">
        <v>240</v>
      </c>
      <c r="R18" s="84" t="s">
        <v>162</v>
      </c>
      <c r="S18" s="234" t="s">
        <v>879</v>
      </c>
      <c r="T18" s="86" t="s">
        <v>78</v>
      </c>
      <c r="U18" s="85">
        <v>68</v>
      </c>
    </row>
    <row r="19" spans="1:21">
      <c r="A19" s="234" t="s">
        <v>240</v>
      </c>
      <c r="B19" s="84"/>
      <c r="C19" s="85"/>
      <c r="D19" s="86"/>
      <c r="E19" s="85"/>
      <c r="I19" s="234" t="s">
        <v>240</v>
      </c>
      <c r="J19" s="84" t="s">
        <v>124</v>
      </c>
      <c r="K19" s="234" t="s">
        <v>878</v>
      </c>
      <c r="L19" s="86" t="s">
        <v>142</v>
      </c>
      <c r="M19" s="85">
        <v>19</v>
      </c>
      <c r="Q19" s="234" t="s">
        <v>240</v>
      </c>
      <c r="R19" s="84"/>
      <c r="S19" s="85"/>
      <c r="T19" s="86"/>
      <c r="U19" s="85"/>
    </row>
    <row r="20" spans="1:21">
      <c r="A20" s="234" t="s">
        <v>240</v>
      </c>
      <c r="B20" s="84"/>
      <c r="C20" s="85"/>
      <c r="D20" s="86"/>
      <c r="E20" s="85"/>
      <c r="I20" s="234" t="s">
        <v>240</v>
      </c>
      <c r="J20" s="84" t="s">
        <v>124</v>
      </c>
      <c r="K20" s="234" t="s">
        <v>878</v>
      </c>
      <c r="L20" s="86" t="s">
        <v>142</v>
      </c>
      <c r="M20" s="85">
        <v>19</v>
      </c>
      <c r="Q20" s="234" t="s">
        <v>240</v>
      </c>
      <c r="R20" s="84"/>
      <c r="S20" s="85"/>
      <c r="T20" s="86"/>
      <c r="U20" s="85"/>
    </row>
    <row r="21" spans="1:21">
      <c r="A21" s="234" t="s">
        <v>240</v>
      </c>
      <c r="B21" s="84"/>
      <c r="C21" s="85"/>
      <c r="D21" s="86"/>
      <c r="E21" s="85"/>
      <c r="I21" s="234" t="s">
        <v>240</v>
      </c>
      <c r="J21" s="84"/>
      <c r="K21" s="85"/>
      <c r="L21" s="86"/>
      <c r="M21" s="85"/>
      <c r="Q21" s="234" t="s">
        <v>240</v>
      </c>
      <c r="R21" s="84"/>
      <c r="S21" s="85"/>
      <c r="T21" s="86"/>
      <c r="U21" s="85"/>
    </row>
    <row r="22" spans="1:21">
      <c r="A22" s="234" t="s">
        <v>240</v>
      </c>
      <c r="B22" s="84"/>
      <c r="C22" s="85"/>
      <c r="D22" s="86"/>
      <c r="E22" s="85"/>
      <c r="I22" s="234" t="s">
        <v>240</v>
      </c>
      <c r="J22" s="84"/>
      <c r="K22" s="85"/>
      <c r="L22" s="86"/>
      <c r="M22" s="85"/>
      <c r="Q22" s="234" t="s">
        <v>240</v>
      </c>
      <c r="R22" s="84"/>
      <c r="S22" s="85"/>
      <c r="T22" s="86"/>
      <c r="U22" s="85"/>
    </row>
    <row r="23" spans="1:21">
      <c r="A23" s="85"/>
      <c r="B23" s="84"/>
      <c r="C23" s="85"/>
      <c r="D23" s="86"/>
      <c r="E23" s="85"/>
      <c r="I23" s="85"/>
      <c r="J23" s="84"/>
      <c r="K23" s="85"/>
      <c r="L23" s="86"/>
      <c r="M23" s="85"/>
      <c r="Q23" s="85"/>
      <c r="R23" s="84"/>
      <c r="S23" s="85"/>
      <c r="T23" s="86"/>
      <c r="U23" s="85"/>
    </row>
    <row r="24" spans="1:21">
      <c r="A24" s="85"/>
      <c r="B24" s="84"/>
      <c r="C24" s="85"/>
      <c r="D24" s="86"/>
      <c r="E24" s="85"/>
      <c r="I24" s="85"/>
      <c r="J24" s="84"/>
      <c r="K24" s="85"/>
      <c r="L24" s="86"/>
      <c r="M24" s="85"/>
      <c r="Q24" s="85"/>
      <c r="R24" s="84"/>
      <c r="S24" s="85"/>
      <c r="T24" s="86"/>
      <c r="U24" s="85"/>
    </row>
    <row r="25" spans="1:21">
      <c r="A25" s="65" t="s">
        <v>242</v>
      </c>
      <c r="B25" s="84"/>
      <c r="C25" s="85"/>
      <c r="D25" s="86"/>
      <c r="E25" s="85">
        <f>SUM(E5:E24)</f>
        <v>266</v>
      </c>
      <c r="I25" s="65" t="s">
        <v>242</v>
      </c>
      <c r="J25" s="84"/>
      <c r="K25" s="85"/>
      <c r="L25" s="86"/>
      <c r="M25" s="85">
        <f>SUM(M5:M24)</f>
        <v>298</v>
      </c>
      <c r="Q25" s="65" t="s">
        <v>242</v>
      </c>
      <c r="R25" s="84"/>
      <c r="S25" s="85"/>
      <c r="T25" s="86"/>
      <c r="U25" s="85">
        <f>SUM(U5:U24)</f>
        <v>339</v>
      </c>
    </row>
    <row r="26" spans="1:21">
      <c r="A26" s="65" t="s">
        <v>318</v>
      </c>
      <c r="B26" s="84"/>
      <c r="C26" s="85"/>
      <c r="D26" s="86"/>
      <c r="E26" s="85">
        <v>5</v>
      </c>
      <c r="I26" s="65" t="s">
        <v>318</v>
      </c>
      <c r="J26" s="84"/>
      <c r="K26" s="85"/>
      <c r="L26" s="86"/>
      <c r="M26" s="85">
        <v>7</v>
      </c>
      <c r="Q26" s="65" t="s">
        <v>318</v>
      </c>
      <c r="R26" s="84"/>
      <c r="S26" s="85"/>
      <c r="T26" s="86"/>
      <c r="U26" s="85">
        <v>7</v>
      </c>
    </row>
    <row r="28" spans="1:21" ht="45.75">
      <c r="A28" t="s">
        <v>31</v>
      </c>
      <c r="B28" t="s">
        <v>867</v>
      </c>
      <c r="I28" s="85"/>
      <c r="J28" s="43" t="s">
        <v>215</v>
      </c>
      <c r="K28" s="65" t="s">
        <v>216</v>
      </c>
      <c r="L28" s="233" t="s">
        <v>217</v>
      </c>
      <c r="M28" s="65" t="s">
        <v>218</v>
      </c>
      <c r="Q28" s="85"/>
      <c r="R28" s="43" t="s">
        <v>215</v>
      </c>
      <c r="S28" s="65" t="s">
        <v>216</v>
      </c>
      <c r="T28" s="233" t="s">
        <v>217</v>
      </c>
      <c r="U28" s="65" t="s">
        <v>218</v>
      </c>
    </row>
    <row r="29" spans="1:21" ht="45.75">
      <c r="A29" s="85"/>
      <c r="B29" s="43" t="s">
        <v>215</v>
      </c>
      <c r="C29" s="65" t="s">
        <v>216</v>
      </c>
      <c r="D29" s="233" t="s">
        <v>217</v>
      </c>
      <c r="E29" s="65" t="s">
        <v>218</v>
      </c>
      <c r="I29" s="65" t="s">
        <v>296</v>
      </c>
      <c r="J29" s="125"/>
      <c r="K29" s="234"/>
      <c r="L29" s="235"/>
      <c r="M29" s="234"/>
      <c r="Q29" s="65" t="s">
        <v>296</v>
      </c>
      <c r="R29" s="125"/>
      <c r="S29" s="234"/>
      <c r="T29" s="235"/>
      <c r="U29" s="234"/>
    </row>
    <row r="30" spans="1:21">
      <c r="A30" s="65" t="s">
        <v>296</v>
      </c>
      <c r="B30" s="125"/>
      <c r="C30" s="234"/>
      <c r="D30" s="235"/>
      <c r="E30" s="234"/>
      <c r="I30" s="234" t="s">
        <v>220</v>
      </c>
      <c r="J30" s="111" t="s">
        <v>162</v>
      </c>
      <c r="K30" s="234" t="s">
        <v>880</v>
      </c>
      <c r="L30" s="115" t="s">
        <v>142</v>
      </c>
      <c r="M30" s="114">
        <v>13</v>
      </c>
      <c r="N30" t="s">
        <v>346</v>
      </c>
      <c r="Q30" s="234" t="s">
        <v>220</v>
      </c>
      <c r="R30" s="111" t="s">
        <v>100</v>
      </c>
      <c r="S30" s="234" t="s">
        <v>881</v>
      </c>
      <c r="T30" s="115" t="s">
        <v>78</v>
      </c>
      <c r="U30" s="114">
        <v>21</v>
      </c>
    </row>
    <row r="31" spans="1:21">
      <c r="A31" s="234" t="s">
        <v>220</v>
      </c>
      <c r="B31" s="111" t="s">
        <v>249</v>
      </c>
      <c r="C31" s="234" t="s">
        <v>297</v>
      </c>
      <c r="D31" s="115" t="s">
        <v>142</v>
      </c>
      <c r="E31" s="114">
        <v>21</v>
      </c>
      <c r="I31" s="234" t="s">
        <v>226</v>
      </c>
      <c r="J31" s="111" t="s">
        <v>162</v>
      </c>
      <c r="K31" s="255" t="s">
        <v>876</v>
      </c>
      <c r="L31" s="117" t="s">
        <v>142</v>
      </c>
      <c r="M31" s="114">
        <v>60</v>
      </c>
      <c r="Q31" s="234" t="s">
        <v>226</v>
      </c>
      <c r="R31" s="111" t="s">
        <v>162</v>
      </c>
      <c r="S31" s="255" t="s">
        <v>875</v>
      </c>
      <c r="T31" s="117" t="s">
        <v>78</v>
      </c>
      <c r="U31" s="114">
        <v>68</v>
      </c>
    </row>
    <row r="32" spans="1:21">
      <c r="A32" s="234" t="s">
        <v>226</v>
      </c>
      <c r="B32" s="111" t="s">
        <v>162</v>
      </c>
      <c r="C32" s="255" t="s">
        <v>872</v>
      </c>
      <c r="D32" s="117" t="s">
        <v>142</v>
      </c>
      <c r="E32" s="114">
        <v>65</v>
      </c>
      <c r="I32" s="234" t="s">
        <v>232</v>
      </c>
      <c r="J32" s="111" t="s">
        <v>162</v>
      </c>
      <c r="K32" s="255" t="s">
        <v>882</v>
      </c>
      <c r="L32" s="117" t="s">
        <v>142</v>
      </c>
      <c r="M32" s="114">
        <v>50</v>
      </c>
      <c r="Q32" s="234" t="s">
        <v>232</v>
      </c>
      <c r="R32" s="111" t="s">
        <v>162</v>
      </c>
      <c r="S32" s="255" t="s">
        <v>876</v>
      </c>
      <c r="T32" s="117" t="s">
        <v>78</v>
      </c>
      <c r="U32" s="114">
        <v>60</v>
      </c>
    </row>
    <row r="33" spans="1:21" ht="30.75">
      <c r="A33" s="234" t="s">
        <v>232</v>
      </c>
      <c r="B33" s="111" t="s">
        <v>124</v>
      </c>
      <c r="C33" s="255" t="s">
        <v>883</v>
      </c>
      <c r="D33" s="117" t="s">
        <v>142</v>
      </c>
      <c r="E33" s="114">
        <v>104</v>
      </c>
      <c r="I33" s="234"/>
      <c r="J33" s="84"/>
      <c r="K33" s="85"/>
      <c r="L33" s="86"/>
      <c r="M33" s="85"/>
      <c r="Q33" s="234"/>
      <c r="R33" s="84"/>
      <c r="S33" s="85"/>
      <c r="T33" s="86"/>
      <c r="U33" s="85"/>
    </row>
    <row r="34" spans="1:21">
      <c r="A34" s="234"/>
      <c r="B34" s="84"/>
      <c r="C34" s="85"/>
      <c r="D34" s="86"/>
      <c r="E34" s="85"/>
      <c r="I34" s="65" t="s">
        <v>234</v>
      </c>
      <c r="J34" s="84"/>
      <c r="K34" s="85"/>
      <c r="L34" s="86"/>
      <c r="M34" s="85"/>
      <c r="Q34" s="65" t="s">
        <v>234</v>
      </c>
      <c r="R34" s="84"/>
      <c r="S34" s="85"/>
      <c r="T34" s="86"/>
      <c r="U34" s="85"/>
    </row>
    <row r="35" spans="1:21">
      <c r="A35" s="65" t="s">
        <v>234</v>
      </c>
      <c r="B35" s="84"/>
      <c r="C35" s="85"/>
      <c r="D35" s="86"/>
      <c r="E35" s="85"/>
      <c r="I35" s="234" t="s">
        <v>303</v>
      </c>
      <c r="J35" s="111"/>
      <c r="K35" s="116" t="s">
        <v>884</v>
      </c>
      <c r="L35" s="117"/>
      <c r="M35" s="114">
        <v>50</v>
      </c>
      <c r="Q35" s="234" t="s">
        <v>303</v>
      </c>
      <c r="R35" s="111" t="s">
        <v>100</v>
      </c>
      <c r="S35" s="255" t="s">
        <v>885</v>
      </c>
      <c r="T35" s="117" t="s">
        <v>78</v>
      </c>
      <c r="U35" s="114">
        <v>42</v>
      </c>
    </row>
    <row r="36" spans="1:21">
      <c r="A36" s="234" t="s">
        <v>303</v>
      </c>
      <c r="B36" s="111"/>
      <c r="C36" s="116"/>
      <c r="D36" s="117"/>
      <c r="E36" s="114"/>
      <c r="I36" s="234" t="s">
        <v>303</v>
      </c>
      <c r="J36" s="111"/>
      <c r="K36" s="116" t="s">
        <v>884</v>
      </c>
      <c r="L36" s="117"/>
      <c r="M36" s="114">
        <v>50</v>
      </c>
      <c r="Q36" s="234" t="s">
        <v>303</v>
      </c>
      <c r="R36" s="111"/>
      <c r="S36" s="116"/>
      <c r="T36" s="117"/>
      <c r="U36" s="114"/>
    </row>
    <row r="37" spans="1:21">
      <c r="A37" s="234" t="s">
        <v>303</v>
      </c>
      <c r="B37" s="111"/>
      <c r="C37" s="116"/>
      <c r="D37" s="117"/>
      <c r="E37" s="114"/>
      <c r="I37" s="234" t="s">
        <v>305</v>
      </c>
      <c r="J37" s="84"/>
      <c r="K37" s="85"/>
      <c r="L37" s="86"/>
      <c r="M37" s="85"/>
      <c r="Q37" s="234" t="s">
        <v>305</v>
      </c>
      <c r="R37" s="84"/>
      <c r="S37" s="85"/>
      <c r="T37" s="86"/>
      <c r="U37" s="85"/>
    </row>
    <row r="38" spans="1:21">
      <c r="A38" s="234" t="s">
        <v>305</v>
      </c>
      <c r="B38" s="84"/>
      <c r="C38" s="85"/>
      <c r="D38" s="86"/>
      <c r="E38" s="85"/>
      <c r="I38" s="234" t="s">
        <v>306</v>
      </c>
      <c r="J38" s="84"/>
      <c r="K38" s="85"/>
      <c r="L38" s="86"/>
      <c r="M38" s="85"/>
      <c r="Q38" s="234" t="s">
        <v>306</v>
      </c>
      <c r="R38" s="84"/>
      <c r="S38" s="85"/>
      <c r="T38" s="86"/>
      <c r="U38" s="85"/>
    </row>
    <row r="39" spans="1:21">
      <c r="A39" s="234" t="s">
        <v>306</v>
      </c>
      <c r="B39" s="84"/>
      <c r="C39" s="85"/>
      <c r="D39" s="86"/>
      <c r="E39" s="85"/>
      <c r="I39" s="234" t="s">
        <v>309</v>
      </c>
      <c r="J39" s="84"/>
      <c r="K39" s="85"/>
      <c r="L39" s="86"/>
      <c r="M39" s="85"/>
      <c r="Q39" s="234" t="s">
        <v>309</v>
      </c>
      <c r="R39" s="84"/>
      <c r="S39" s="85"/>
      <c r="T39" s="86"/>
      <c r="U39" s="85"/>
    </row>
    <row r="40" spans="1:21">
      <c r="A40" s="234" t="s">
        <v>309</v>
      </c>
      <c r="B40" s="84"/>
      <c r="C40" s="85"/>
      <c r="D40" s="86"/>
      <c r="E40" s="85"/>
      <c r="I40" s="234" t="s">
        <v>309</v>
      </c>
      <c r="J40" s="84"/>
      <c r="K40" s="85"/>
      <c r="L40" s="86"/>
      <c r="M40" s="85"/>
      <c r="Q40" s="234" t="s">
        <v>309</v>
      </c>
      <c r="R40" s="84"/>
      <c r="S40" s="85"/>
      <c r="T40" s="86"/>
      <c r="U40" s="85"/>
    </row>
    <row r="41" spans="1:21">
      <c r="A41" s="234" t="s">
        <v>309</v>
      </c>
      <c r="B41" s="84"/>
      <c r="C41" s="85"/>
      <c r="D41" s="86"/>
      <c r="E41" s="85"/>
      <c r="I41" s="234" t="s">
        <v>310</v>
      </c>
      <c r="J41" s="84"/>
      <c r="K41" s="85"/>
      <c r="L41" s="86"/>
      <c r="M41" s="85"/>
      <c r="Q41" s="234" t="s">
        <v>310</v>
      </c>
      <c r="R41" s="84"/>
      <c r="S41" s="85"/>
      <c r="T41" s="86"/>
      <c r="U41" s="85"/>
    </row>
    <row r="42" spans="1:21">
      <c r="A42" s="234" t="s">
        <v>310</v>
      </c>
      <c r="B42" s="84"/>
      <c r="C42" s="85"/>
      <c r="D42" s="86"/>
      <c r="E42" s="85"/>
      <c r="I42" s="234" t="s">
        <v>235</v>
      </c>
      <c r="J42" s="84" t="s">
        <v>162</v>
      </c>
      <c r="K42" s="234" t="s">
        <v>877</v>
      </c>
      <c r="L42" s="86" t="s">
        <v>142</v>
      </c>
      <c r="M42" s="85">
        <v>25</v>
      </c>
      <c r="Q42" s="234" t="s">
        <v>235</v>
      </c>
      <c r="R42" s="84" t="s">
        <v>162</v>
      </c>
      <c r="S42" s="234" t="s">
        <v>238</v>
      </c>
      <c r="T42" s="86" t="s">
        <v>78</v>
      </c>
      <c r="U42" s="85">
        <v>45</v>
      </c>
    </row>
    <row r="43" spans="1:21">
      <c r="A43" s="234" t="s">
        <v>235</v>
      </c>
      <c r="B43" s="84"/>
      <c r="C43" s="85"/>
      <c r="D43" s="86"/>
      <c r="E43" s="85"/>
      <c r="I43" s="234" t="s">
        <v>240</v>
      </c>
      <c r="J43" s="84" t="s">
        <v>162</v>
      </c>
      <c r="K43" s="234" t="s">
        <v>878</v>
      </c>
      <c r="L43" s="86" t="s">
        <v>142</v>
      </c>
      <c r="M43" s="85">
        <v>16</v>
      </c>
      <c r="Q43" s="234" t="s">
        <v>240</v>
      </c>
      <c r="R43" s="84" t="s">
        <v>162</v>
      </c>
      <c r="S43" s="234" t="s">
        <v>424</v>
      </c>
      <c r="T43" s="86" t="s">
        <v>78</v>
      </c>
      <c r="U43" s="85">
        <v>14</v>
      </c>
    </row>
    <row r="44" spans="1:21">
      <c r="A44" s="234" t="s">
        <v>240</v>
      </c>
      <c r="B44" s="84"/>
      <c r="C44" s="85"/>
      <c r="D44" s="86"/>
      <c r="E44" s="85"/>
      <c r="I44" s="234" t="s">
        <v>240</v>
      </c>
      <c r="J44" s="84" t="s">
        <v>162</v>
      </c>
      <c r="K44" s="234" t="s">
        <v>878</v>
      </c>
      <c r="L44" s="86" t="s">
        <v>142</v>
      </c>
      <c r="M44" s="85">
        <v>16</v>
      </c>
      <c r="Q44" s="234" t="s">
        <v>240</v>
      </c>
      <c r="R44" s="84"/>
      <c r="S44" s="85"/>
      <c r="T44" s="86"/>
      <c r="U44" s="85"/>
    </row>
    <row r="45" spans="1:21">
      <c r="A45" s="234" t="s">
        <v>240</v>
      </c>
      <c r="B45" s="84"/>
      <c r="C45" s="85"/>
      <c r="D45" s="86"/>
      <c r="E45" s="85"/>
      <c r="I45" s="234" t="s">
        <v>240</v>
      </c>
      <c r="J45" s="84"/>
      <c r="K45" s="234"/>
      <c r="L45" s="86"/>
      <c r="M45" s="85"/>
      <c r="Q45" s="234" t="s">
        <v>240</v>
      </c>
      <c r="R45" s="84"/>
      <c r="S45" s="85"/>
      <c r="T45" s="86"/>
      <c r="U45" s="85"/>
    </row>
    <row r="46" spans="1:21">
      <c r="A46" s="234" t="s">
        <v>240</v>
      </c>
      <c r="B46" s="84"/>
      <c r="C46" s="85"/>
      <c r="D46" s="86"/>
      <c r="E46" s="85"/>
      <c r="I46" s="234" t="s">
        <v>240</v>
      </c>
      <c r="J46" s="84"/>
      <c r="K46" s="85"/>
      <c r="L46" s="86"/>
      <c r="M46" s="85"/>
      <c r="Q46" s="234" t="s">
        <v>240</v>
      </c>
      <c r="R46" s="84"/>
      <c r="S46" s="85"/>
      <c r="T46" s="86"/>
      <c r="U46" s="85"/>
    </row>
    <row r="47" spans="1:21">
      <c r="A47" s="234" t="s">
        <v>240</v>
      </c>
      <c r="B47" s="84"/>
      <c r="C47" s="85"/>
      <c r="D47" s="86"/>
      <c r="E47" s="85"/>
      <c r="I47" s="234" t="s">
        <v>240</v>
      </c>
      <c r="J47" s="84"/>
      <c r="K47" s="85"/>
      <c r="L47" s="86"/>
      <c r="M47" s="85"/>
      <c r="Q47" s="234" t="s">
        <v>240</v>
      </c>
      <c r="R47" s="84"/>
      <c r="S47" s="85"/>
      <c r="T47" s="86"/>
      <c r="U47" s="85"/>
    </row>
    <row r="48" spans="1:21">
      <c r="A48" s="234" t="s">
        <v>240</v>
      </c>
      <c r="B48" s="84"/>
      <c r="C48" s="85"/>
      <c r="D48" s="86"/>
      <c r="E48" s="85"/>
      <c r="I48" s="85"/>
      <c r="J48" s="84"/>
      <c r="K48" s="85"/>
      <c r="L48" s="86"/>
      <c r="M48" s="85"/>
      <c r="Q48" s="85"/>
      <c r="R48" s="84"/>
      <c r="S48" s="85"/>
      <c r="T48" s="86"/>
      <c r="U48" s="85"/>
    </row>
    <row r="49" spans="1:21">
      <c r="A49" s="85"/>
      <c r="B49" s="84"/>
      <c r="C49" s="85"/>
      <c r="D49" s="86"/>
      <c r="E49" s="85"/>
      <c r="I49" s="85"/>
      <c r="J49" s="84"/>
      <c r="K49" s="85"/>
      <c r="L49" s="86"/>
      <c r="M49" s="85"/>
      <c r="Q49" s="85"/>
      <c r="R49" s="84"/>
      <c r="S49" s="85"/>
      <c r="T49" s="86"/>
      <c r="U49" s="85"/>
    </row>
    <row r="50" spans="1:21">
      <c r="A50" s="85"/>
      <c r="B50" s="84"/>
      <c r="C50" s="85"/>
      <c r="D50" s="86"/>
      <c r="E50" s="85"/>
      <c r="I50" s="65" t="s">
        <v>242</v>
      </c>
      <c r="J50" s="84"/>
      <c r="K50" s="85"/>
      <c r="L50" s="86"/>
      <c r="M50" s="85">
        <f>SUM(M30:M49)</f>
        <v>280</v>
      </c>
      <c r="Q50" s="65" t="s">
        <v>242</v>
      </c>
      <c r="R50" s="84"/>
      <c r="S50" s="85"/>
      <c r="T50" s="86"/>
      <c r="U50" s="85">
        <f>SUM(U30:U49)</f>
        <v>250</v>
      </c>
    </row>
    <row r="51" spans="1:21">
      <c r="A51" s="65" t="s">
        <v>242</v>
      </c>
      <c r="B51" s="84"/>
      <c r="C51" s="85"/>
      <c r="D51" s="86"/>
      <c r="E51" s="85">
        <f>SUM(E31:E50)</f>
        <v>190</v>
      </c>
      <c r="I51" s="65" t="s">
        <v>318</v>
      </c>
      <c r="J51" s="84"/>
      <c r="K51" s="85"/>
      <c r="L51" s="86"/>
      <c r="M51" s="85">
        <v>7</v>
      </c>
      <c r="Q51" s="65" t="s">
        <v>318</v>
      </c>
      <c r="R51" s="84"/>
      <c r="S51" s="85"/>
      <c r="T51" s="86"/>
      <c r="U51" s="85">
        <v>6</v>
      </c>
    </row>
    <row r="52" spans="1:21">
      <c r="A52" s="65" t="s">
        <v>318</v>
      </c>
      <c r="B52" s="84"/>
      <c r="C52" s="85"/>
      <c r="D52" s="86"/>
      <c r="E52" s="85">
        <v>3</v>
      </c>
    </row>
    <row r="53" spans="1:21" ht="45.75">
      <c r="I53" s="85"/>
      <c r="J53" s="43" t="s">
        <v>215</v>
      </c>
      <c r="K53" s="65" t="s">
        <v>216</v>
      </c>
      <c r="L53" s="233" t="s">
        <v>217</v>
      </c>
      <c r="M53" s="65" t="s">
        <v>218</v>
      </c>
    </row>
    <row r="54" spans="1:21" ht="45.75">
      <c r="A54" s="81"/>
      <c r="B54" s="43" t="s">
        <v>215</v>
      </c>
      <c r="C54" s="65" t="s">
        <v>216</v>
      </c>
      <c r="D54" s="233" t="s">
        <v>217</v>
      </c>
      <c r="E54" s="65" t="s">
        <v>218</v>
      </c>
      <c r="I54" s="65" t="s">
        <v>296</v>
      </c>
      <c r="J54" s="125"/>
      <c r="K54" s="234"/>
      <c r="L54" s="235"/>
      <c r="M54" s="234"/>
    </row>
    <row r="55" spans="1:21" ht="76.5">
      <c r="A55" s="65" t="s">
        <v>296</v>
      </c>
      <c r="B55" s="68"/>
      <c r="C55" s="69"/>
      <c r="D55" s="70"/>
      <c r="E55" s="69"/>
      <c r="I55" s="237" t="s">
        <v>259</v>
      </c>
      <c r="J55" s="108" t="s">
        <v>124</v>
      </c>
      <c r="K55" s="236" t="s">
        <v>886</v>
      </c>
      <c r="L55" s="115" t="s">
        <v>142</v>
      </c>
      <c r="M55" s="114">
        <v>107</v>
      </c>
    </row>
    <row r="56" spans="1:21" ht="60.75">
      <c r="A56" s="234" t="s">
        <v>220</v>
      </c>
      <c r="B56" s="111" t="s">
        <v>100</v>
      </c>
      <c r="C56" s="254" t="s">
        <v>887</v>
      </c>
      <c r="D56" s="115" t="s">
        <v>142</v>
      </c>
      <c r="E56" s="114">
        <v>21</v>
      </c>
      <c r="I56" s="237" t="s">
        <v>261</v>
      </c>
      <c r="J56" s="238" t="s">
        <v>145</v>
      </c>
      <c r="K56" s="234" t="s">
        <v>888</v>
      </c>
      <c r="L56" s="117" t="s">
        <v>142</v>
      </c>
      <c r="M56" s="114">
        <v>90</v>
      </c>
      <c r="Q56" s="85"/>
      <c r="R56" s="43" t="s">
        <v>215</v>
      </c>
      <c r="S56" s="65" t="s">
        <v>216</v>
      </c>
      <c r="T56" s="233" t="s">
        <v>217</v>
      </c>
      <c r="U56" s="65" t="s">
        <v>218</v>
      </c>
    </row>
    <row r="57" spans="1:21">
      <c r="A57" s="238" t="s">
        <v>266</v>
      </c>
      <c r="B57" s="111" t="s">
        <v>145</v>
      </c>
      <c r="C57" s="255" t="s">
        <v>889</v>
      </c>
      <c r="D57" s="117" t="s">
        <v>142</v>
      </c>
      <c r="E57" s="114">
        <v>73</v>
      </c>
      <c r="I57" s="234"/>
      <c r="J57" s="84"/>
      <c r="K57" s="85"/>
      <c r="L57" s="86"/>
      <c r="M57" s="85"/>
      <c r="Q57" s="65" t="s">
        <v>296</v>
      </c>
      <c r="R57" s="125"/>
      <c r="S57" s="234"/>
      <c r="T57" s="235"/>
      <c r="U57" s="234"/>
    </row>
    <row r="58" spans="1:21" ht="76.5">
      <c r="A58" s="238" t="s">
        <v>268</v>
      </c>
      <c r="B58" s="111" t="s">
        <v>124</v>
      </c>
      <c r="C58" s="255" t="s">
        <v>890</v>
      </c>
      <c r="D58" s="117" t="s">
        <v>142</v>
      </c>
      <c r="E58" s="114">
        <v>108</v>
      </c>
      <c r="I58" s="65" t="s">
        <v>234</v>
      </c>
      <c r="J58" s="84"/>
      <c r="K58" s="85"/>
      <c r="L58" s="86"/>
      <c r="M58" s="85"/>
      <c r="Q58" s="237" t="s">
        <v>259</v>
      </c>
      <c r="R58" s="108" t="s">
        <v>162</v>
      </c>
      <c r="S58" s="236" t="s">
        <v>891</v>
      </c>
      <c r="T58" s="115" t="s">
        <v>78</v>
      </c>
      <c r="U58" s="114">
        <v>130</v>
      </c>
    </row>
    <row r="59" spans="1:21" ht="60.75">
      <c r="A59" s="69"/>
      <c r="B59" s="80"/>
      <c r="C59" s="81"/>
      <c r="D59" s="82"/>
      <c r="E59" s="81"/>
      <c r="I59" s="237" t="s">
        <v>261</v>
      </c>
      <c r="J59" s="84" t="s">
        <v>145</v>
      </c>
      <c r="K59" s="234" t="s">
        <v>892</v>
      </c>
      <c r="L59" s="86" t="s">
        <v>142</v>
      </c>
      <c r="M59" s="85">
        <v>35</v>
      </c>
      <c r="Q59" s="237" t="s">
        <v>261</v>
      </c>
      <c r="R59" s="238" t="s">
        <v>145</v>
      </c>
      <c r="S59" s="234" t="s">
        <v>893</v>
      </c>
      <c r="T59" s="117" t="s">
        <v>78</v>
      </c>
      <c r="U59" s="114">
        <v>120</v>
      </c>
    </row>
    <row r="60" spans="1:21" ht="60.75">
      <c r="A60" s="65" t="s">
        <v>234</v>
      </c>
      <c r="B60" s="80"/>
      <c r="C60" s="81"/>
      <c r="D60" s="82"/>
      <c r="E60" s="81"/>
      <c r="I60" s="237" t="s">
        <v>261</v>
      </c>
      <c r="J60" s="84" t="s">
        <v>145</v>
      </c>
      <c r="K60" s="234" t="s">
        <v>894</v>
      </c>
      <c r="L60" s="86" t="s">
        <v>142</v>
      </c>
      <c r="M60" s="85">
        <v>120</v>
      </c>
      <c r="Q60" s="234"/>
      <c r="R60" s="84"/>
      <c r="S60" s="85"/>
      <c r="T60" s="86"/>
      <c r="U60" s="85"/>
    </row>
    <row r="61" spans="1:21" ht="60.75">
      <c r="A61" s="238" t="s">
        <v>270</v>
      </c>
      <c r="B61" s="111"/>
      <c r="C61" s="116"/>
      <c r="D61" s="117"/>
      <c r="E61" s="114"/>
      <c r="I61" s="237" t="s">
        <v>261</v>
      </c>
      <c r="J61" s="84" t="s">
        <v>145</v>
      </c>
      <c r="K61" s="234" t="s">
        <v>894</v>
      </c>
      <c r="L61" s="86" t="s">
        <v>142</v>
      </c>
      <c r="M61" s="85">
        <v>120</v>
      </c>
      <c r="Q61" s="65" t="s">
        <v>234</v>
      </c>
      <c r="R61" s="84"/>
      <c r="S61" s="85"/>
      <c r="T61" s="86"/>
      <c r="U61" s="85"/>
    </row>
    <row r="62" spans="1:21" ht="60.75">
      <c r="A62" s="238" t="s">
        <v>270</v>
      </c>
      <c r="B62" s="111"/>
      <c r="C62" s="116"/>
      <c r="D62" s="117"/>
      <c r="E62" s="114"/>
      <c r="I62" s="85"/>
      <c r="J62" s="84"/>
      <c r="K62" s="85"/>
      <c r="L62" s="86"/>
      <c r="M62" s="85"/>
      <c r="Q62" s="237" t="s">
        <v>261</v>
      </c>
      <c r="R62" s="84" t="s">
        <v>145</v>
      </c>
      <c r="S62" s="234" t="s">
        <v>895</v>
      </c>
      <c r="T62" s="86" t="s">
        <v>78</v>
      </c>
      <c r="U62" s="234">
        <v>130</v>
      </c>
    </row>
    <row r="63" spans="1:21" ht="60.75">
      <c r="A63" s="238" t="s">
        <v>776</v>
      </c>
      <c r="B63" s="84"/>
      <c r="C63" s="85"/>
      <c r="D63" s="86"/>
      <c r="E63" s="85"/>
      <c r="I63" s="85"/>
      <c r="J63" s="84"/>
      <c r="K63" s="85"/>
      <c r="L63" s="86"/>
      <c r="M63" s="85"/>
      <c r="Q63" s="237" t="s">
        <v>261</v>
      </c>
      <c r="R63" s="84" t="s">
        <v>145</v>
      </c>
      <c r="S63" s="234" t="s">
        <v>896</v>
      </c>
      <c r="T63" s="86" t="s">
        <v>78</v>
      </c>
      <c r="U63" s="85">
        <v>130</v>
      </c>
    </row>
    <row r="64" spans="1:21" ht="60.75">
      <c r="A64" s="238" t="s">
        <v>776</v>
      </c>
      <c r="B64" s="84"/>
      <c r="C64" s="85"/>
      <c r="D64" s="86"/>
      <c r="E64" s="85"/>
      <c r="I64" s="65" t="s">
        <v>242</v>
      </c>
      <c r="J64" s="84"/>
      <c r="K64" s="85"/>
      <c r="L64" s="86"/>
      <c r="M64" s="85">
        <f>SUM(M55:M63)</f>
        <v>472</v>
      </c>
      <c r="Q64" s="237" t="s">
        <v>261</v>
      </c>
      <c r="R64" s="84"/>
      <c r="S64" s="85"/>
      <c r="T64" s="86"/>
      <c r="U64" s="85"/>
    </row>
    <row r="65" spans="1:21">
      <c r="A65" s="238" t="s">
        <v>776</v>
      </c>
      <c r="B65" s="84"/>
      <c r="C65" s="85"/>
      <c r="D65" s="86"/>
      <c r="E65" s="85"/>
      <c r="I65" s="65" t="s">
        <v>318</v>
      </c>
      <c r="J65" s="84"/>
      <c r="K65" s="85"/>
      <c r="L65" s="86"/>
      <c r="M65" s="85">
        <v>5</v>
      </c>
      <c r="Q65" s="85"/>
      <c r="R65" s="84"/>
      <c r="S65" s="85"/>
      <c r="T65" s="86"/>
      <c r="U65" s="85"/>
    </row>
    <row r="66" spans="1:21">
      <c r="A66" s="234" t="s">
        <v>271</v>
      </c>
      <c r="B66" s="84" t="s">
        <v>145</v>
      </c>
      <c r="C66" s="234" t="s">
        <v>897</v>
      </c>
      <c r="D66" s="86" t="s">
        <v>142</v>
      </c>
      <c r="E66" s="85">
        <v>55</v>
      </c>
      <c r="Q66" s="85"/>
      <c r="R66" s="84"/>
      <c r="S66" s="85"/>
      <c r="T66" s="86"/>
      <c r="U66" s="85"/>
    </row>
    <row r="67" spans="1:21">
      <c r="A67" s="234" t="s">
        <v>271</v>
      </c>
      <c r="B67" s="84"/>
      <c r="C67" s="85"/>
      <c r="D67" s="86"/>
      <c r="E67" s="85"/>
      <c r="I67" s="239"/>
      <c r="J67" s="85"/>
      <c r="K67" s="240" t="s">
        <v>336</v>
      </c>
      <c r="L67" s="108"/>
      <c r="Q67" s="65" t="s">
        <v>242</v>
      </c>
      <c r="R67" s="84"/>
      <c r="S67" s="85"/>
      <c r="T67" s="86"/>
      <c r="U67" s="85">
        <f>SUM(U58:U66)</f>
        <v>510</v>
      </c>
    </row>
    <row r="68" spans="1:21">
      <c r="A68" s="234" t="s">
        <v>271</v>
      </c>
      <c r="B68" s="84"/>
      <c r="C68" s="85"/>
      <c r="D68" s="86"/>
      <c r="E68" s="85"/>
      <c r="I68" s="65" t="s">
        <v>275</v>
      </c>
      <c r="J68" s="111" t="s">
        <v>898</v>
      </c>
      <c r="K68" s="85"/>
      <c r="L68" s="108"/>
      <c r="Q68" s="65" t="s">
        <v>318</v>
      </c>
      <c r="R68" s="84"/>
      <c r="S68" s="85"/>
      <c r="T68" s="86"/>
      <c r="U68" s="85">
        <v>4</v>
      </c>
    </row>
    <row r="69" spans="1:21">
      <c r="A69" s="234" t="s">
        <v>271</v>
      </c>
      <c r="B69" s="84"/>
      <c r="C69" s="85"/>
      <c r="D69" s="86"/>
      <c r="E69" s="85"/>
      <c r="I69" s="65" t="s">
        <v>277</v>
      </c>
      <c r="J69" s="111"/>
      <c r="K69" s="85"/>
      <c r="L69" s="108"/>
    </row>
    <row r="70" spans="1:21">
      <c r="A70" s="234" t="s">
        <v>271</v>
      </c>
      <c r="B70" s="84"/>
      <c r="C70" s="85"/>
      <c r="D70" s="86"/>
      <c r="E70" s="85"/>
      <c r="I70" s="65" t="s">
        <v>278</v>
      </c>
      <c r="J70" s="111"/>
      <c r="K70" s="85"/>
      <c r="L70" s="108"/>
      <c r="Q70" s="239"/>
      <c r="R70" s="85"/>
      <c r="S70" s="240" t="s">
        <v>336</v>
      </c>
      <c r="T70" s="108"/>
    </row>
    <row r="71" spans="1:21">
      <c r="A71" s="234" t="s">
        <v>271</v>
      </c>
      <c r="B71" s="84"/>
      <c r="C71" s="85"/>
      <c r="D71" s="86"/>
      <c r="E71" s="85"/>
      <c r="I71" s="65" t="s">
        <v>282</v>
      </c>
      <c r="J71" s="111" t="s">
        <v>31</v>
      </c>
      <c r="K71" s="85"/>
      <c r="L71" s="108"/>
      <c r="Q71" s="65" t="s">
        <v>275</v>
      </c>
      <c r="R71" s="111" t="s">
        <v>898</v>
      </c>
      <c r="S71" s="85"/>
      <c r="T71" s="108"/>
    </row>
    <row r="72" spans="1:21">
      <c r="A72" s="234" t="s">
        <v>271</v>
      </c>
      <c r="B72" s="84"/>
      <c r="C72" s="85"/>
      <c r="D72" s="86"/>
      <c r="E72" s="85"/>
      <c r="I72" s="65"/>
      <c r="J72" s="84"/>
      <c r="K72" s="85"/>
      <c r="L72" s="108"/>
      <c r="Q72" s="65" t="s">
        <v>277</v>
      </c>
      <c r="R72" s="111"/>
      <c r="S72" s="85"/>
      <c r="T72" s="108"/>
    </row>
    <row r="73" spans="1:21">
      <c r="A73" s="81"/>
      <c r="B73" s="80"/>
      <c r="C73" s="81"/>
      <c r="D73" s="82"/>
      <c r="E73" s="81"/>
      <c r="I73" s="241" t="s">
        <v>284</v>
      </c>
      <c r="J73" s="241"/>
      <c r="K73" s="241"/>
      <c r="L73" s="108"/>
      <c r="Q73" s="65" t="s">
        <v>278</v>
      </c>
      <c r="R73" s="111"/>
      <c r="S73" s="85"/>
      <c r="T73" s="108"/>
    </row>
    <row r="74" spans="1:21">
      <c r="A74" s="81"/>
      <c r="B74" s="80"/>
      <c r="C74" s="81"/>
      <c r="D74" s="82"/>
      <c r="E74" s="81"/>
      <c r="I74" s="241"/>
      <c r="J74" s="241" t="s">
        <v>339</v>
      </c>
      <c r="K74" s="241" t="s">
        <v>15</v>
      </c>
      <c r="L74" s="241" t="s">
        <v>5</v>
      </c>
      <c r="Q74" s="65" t="s">
        <v>282</v>
      </c>
      <c r="R74" s="111" t="s">
        <v>32</v>
      </c>
      <c r="S74" s="85"/>
      <c r="T74" s="108"/>
    </row>
    <row r="75" spans="1:21">
      <c r="A75" s="65" t="s">
        <v>242</v>
      </c>
      <c r="B75" s="84"/>
      <c r="C75" s="85"/>
      <c r="D75" s="86"/>
      <c r="E75" s="85">
        <f>SUM(E56:E74)</f>
        <v>257</v>
      </c>
      <c r="I75" s="242" t="s">
        <v>286</v>
      </c>
      <c r="J75" s="242">
        <f>M25</f>
        <v>298</v>
      </c>
      <c r="K75" s="242">
        <v>7</v>
      </c>
      <c r="L75" s="242"/>
      <c r="Q75" s="65"/>
      <c r="R75" s="84"/>
      <c r="S75" s="85"/>
      <c r="T75" s="108"/>
    </row>
    <row r="76" spans="1:21">
      <c r="A76" s="65" t="s">
        <v>318</v>
      </c>
      <c r="B76" s="84"/>
      <c r="C76" s="85"/>
      <c r="D76" s="86"/>
      <c r="E76" s="85">
        <v>4</v>
      </c>
      <c r="I76" s="242" t="s">
        <v>341</v>
      </c>
      <c r="J76" s="242">
        <v>49</v>
      </c>
      <c r="K76" s="242">
        <v>1</v>
      </c>
      <c r="L76" s="242"/>
      <c r="Q76" s="241" t="s">
        <v>284</v>
      </c>
      <c r="R76" s="241"/>
      <c r="S76" s="241"/>
      <c r="T76" s="108"/>
    </row>
    <row r="77" spans="1:21">
      <c r="I77" s="242" t="s">
        <v>287</v>
      </c>
      <c r="J77" s="242">
        <f>M50</f>
        <v>280</v>
      </c>
      <c r="K77" s="242">
        <v>7</v>
      </c>
      <c r="L77" s="242"/>
      <c r="Q77" s="241"/>
      <c r="R77" s="241" t="s">
        <v>339</v>
      </c>
      <c r="S77" s="241" t="s">
        <v>15</v>
      </c>
      <c r="T77" s="241" t="s">
        <v>5</v>
      </c>
    </row>
    <row r="78" spans="1:21" ht="45.75">
      <c r="A78" s="85"/>
      <c r="B78" s="43" t="s">
        <v>215</v>
      </c>
      <c r="C78" s="65" t="s">
        <v>216</v>
      </c>
      <c r="D78" s="233" t="s">
        <v>217</v>
      </c>
      <c r="E78" s="65" t="s">
        <v>218</v>
      </c>
      <c r="I78" s="242" t="s">
        <v>288</v>
      </c>
      <c r="J78" s="242"/>
      <c r="K78" s="242"/>
      <c r="L78" s="242"/>
      <c r="Q78" s="242" t="s">
        <v>286</v>
      </c>
      <c r="R78" s="242">
        <f>U25</f>
        <v>339</v>
      </c>
      <c r="S78" s="242">
        <v>6</v>
      </c>
      <c r="T78" s="242"/>
    </row>
    <row r="79" spans="1:21">
      <c r="A79" s="65" t="s">
        <v>296</v>
      </c>
      <c r="B79" s="125"/>
      <c r="C79" s="234"/>
      <c r="D79" s="235"/>
      <c r="E79" s="234"/>
      <c r="I79" s="242" t="s">
        <v>290</v>
      </c>
      <c r="J79" s="242">
        <f>M64</f>
        <v>472</v>
      </c>
      <c r="K79" s="242">
        <v>5</v>
      </c>
      <c r="L79" s="242"/>
      <c r="Q79" s="242" t="s">
        <v>287</v>
      </c>
      <c r="R79" s="242">
        <f>U50</f>
        <v>250</v>
      </c>
      <c r="S79" s="242">
        <v>6</v>
      </c>
      <c r="T79" s="242"/>
    </row>
    <row r="80" spans="1:21" ht="76.5">
      <c r="A80" s="237" t="s">
        <v>259</v>
      </c>
      <c r="B80" s="108" t="s">
        <v>145</v>
      </c>
      <c r="C80" s="236" t="s">
        <v>899</v>
      </c>
      <c r="D80" s="115" t="s">
        <v>142</v>
      </c>
      <c r="E80" s="114">
        <v>100</v>
      </c>
      <c r="I80" s="242"/>
      <c r="J80" s="241">
        <f>SUM(J75:J79)</f>
        <v>1099</v>
      </c>
      <c r="K80" s="241">
        <v>21</v>
      </c>
      <c r="L80" s="242"/>
      <c r="Q80" s="242" t="s">
        <v>288</v>
      </c>
      <c r="R80" s="242"/>
      <c r="S80" s="242"/>
      <c r="T80" s="242"/>
    </row>
    <row r="81" spans="1:20" ht="60.75">
      <c r="A81" s="237" t="s">
        <v>261</v>
      </c>
      <c r="B81" s="238" t="s">
        <v>145</v>
      </c>
      <c r="C81" s="234" t="s">
        <v>900</v>
      </c>
      <c r="D81" s="117" t="s">
        <v>142</v>
      </c>
      <c r="E81" s="114">
        <v>115</v>
      </c>
      <c r="Q81" s="242" t="s">
        <v>290</v>
      </c>
      <c r="R81" s="242">
        <f>U67</f>
        <v>510</v>
      </c>
      <c r="S81" s="242">
        <v>4</v>
      </c>
      <c r="T81" s="242"/>
    </row>
    <row r="82" spans="1:20">
      <c r="A82" s="234"/>
      <c r="B82" s="84"/>
      <c r="C82" s="85"/>
      <c r="D82" s="86"/>
      <c r="E82" s="85"/>
      <c r="Q82" s="242"/>
      <c r="R82" s="241">
        <v>1099</v>
      </c>
      <c r="S82" s="241">
        <v>16</v>
      </c>
      <c r="T82" s="242"/>
    </row>
    <row r="83" spans="1:20">
      <c r="A83" s="65" t="s">
        <v>234</v>
      </c>
      <c r="B83" s="84"/>
      <c r="C83" s="85"/>
      <c r="D83" s="86"/>
      <c r="E83" s="85"/>
    </row>
    <row r="84" spans="1:20" ht="60.75">
      <c r="A84" s="237" t="s">
        <v>261</v>
      </c>
      <c r="B84" s="84" t="s">
        <v>145</v>
      </c>
      <c r="C84" s="234" t="s">
        <v>654</v>
      </c>
      <c r="D84" s="86" t="s">
        <v>142</v>
      </c>
      <c r="E84" s="85">
        <v>85</v>
      </c>
    </row>
    <row r="85" spans="1:20" ht="60.75">
      <c r="A85" s="237" t="s">
        <v>261</v>
      </c>
      <c r="B85" s="84" t="s">
        <v>145</v>
      </c>
      <c r="C85" s="234" t="s">
        <v>654</v>
      </c>
      <c r="D85" s="86" t="s">
        <v>142</v>
      </c>
      <c r="E85" s="85">
        <v>85</v>
      </c>
    </row>
    <row r="86" spans="1:20" ht="60.75">
      <c r="A86" s="237" t="s">
        <v>261</v>
      </c>
      <c r="B86" s="84"/>
      <c r="C86" s="85"/>
      <c r="D86" s="86"/>
      <c r="E86" s="85"/>
    </row>
    <row r="87" spans="1:20">
      <c r="A87" s="85"/>
      <c r="B87" s="84"/>
      <c r="C87" s="85"/>
      <c r="D87" s="86"/>
      <c r="E87" s="85"/>
    </row>
    <row r="88" spans="1:20">
      <c r="A88" s="85"/>
      <c r="B88" s="84"/>
      <c r="C88" s="85"/>
      <c r="D88" s="86"/>
      <c r="E88" s="85"/>
    </row>
    <row r="89" spans="1:20">
      <c r="A89" s="65" t="s">
        <v>242</v>
      </c>
      <c r="B89" s="84"/>
      <c r="C89" s="85"/>
      <c r="D89" s="86"/>
      <c r="E89" s="85">
        <f>SUM(E80:E88)</f>
        <v>385</v>
      </c>
    </row>
    <row r="90" spans="1:20">
      <c r="A90" s="65" t="s">
        <v>318</v>
      </c>
      <c r="B90" s="84"/>
      <c r="C90" s="85"/>
      <c r="D90" s="86"/>
      <c r="E90" s="85">
        <v>4</v>
      </c>
    </row>
    <row r="92" spans="1:20">
      <c r="A92" s="239"/>
      <c r="B92" s="85"/>
      <c r="C92" s="240" t="s">
        <v>336</v>
      </c>
      <c r="D92" s="108"/>
    </row>
    <row r="93" spans="1:20">
      <c r="A93" s="65" t="s">
        <v>275</v>
      </c>
      <c r="B93" s="111" t="s">
        <v>898</v>
      </c>
      <c r="C93" s="85"/>
      <c r="D93" s="108"/>
    </row>
    <row r="94" spans="1:20">
      <c r="A94" s="65" t="s">
        <v>277</v>
      </c>
      <c r="B94" s="111"/>
      <c r="C94" s="85"/>
      <c r="D94" s="108"/>
    </row>
    <row r="95" spans="1:20">
      <c r="A95" s="65" t="s">
        <v>278</v>
      </c>
      <c r="B95" s="111"/>
      <c r="C95" s="85"/>
      <c r="D95" s="108"/>
    </row>
    <row r="96" spans="1:20">
      <c r="A96" s="65" t="s">
        <v>282</v>
      </c>
      <c r="B96" s="111" t="s">
        <v>31</v>
      </c>
      <c r="C96" s="85"/>
      <c r="D96" s="108"/>
    </row>
    <row r="97" spans="1:4">
      <c r="A97" s="65"/>
      <c r="B97" s="84"/>
      <c r="C97" s="85"/>
      <c r="D97" s="108"/>
    </row>
    <row r="98" spans="1:4">
      <c r="A98" s="241" t="s">
        <v>284</v>
      </c>
      <c r="B98" s="241"/>
      <c r="C98" s="241"/>
      <c r="D98" s="108"/>
    </row>
    <row r="99" spans="1:4">
      <c r="A99" s="241"/>
      <c r="B99" s="241" t="s">
        <v>339</v>
      </c>
      <c r="C99" s="241" t="s">
        <v>15</v>
      </c>
      <c r="D99" s="241" t="s">
        <v>5</v>
      </c>
    </row>
    <row r="100" spans="1:4">
      <c r="A100" s="242" t="s">
        <v>286</v>
      </c>
      <c r="B100" s="242">
        <v>266</v>
      </c>
      <c r="C100" s="242">
        <v>5</v>
      </c>
      <c r="D100" s="242"/>
    </row>
    <row r="101" spans="1:4">
      <c r="A101" s="242" t="s">
        <v>287</v>
      </c>
      <c r="B101" s="242">
        <v>190</v>
      </c>
      <c r="C101" s="242">
        <v>3</v>
      </c>
      <c r="D101" s="242"/>
    </row>
    <row r="102" spans="1:4">
      <c r="A102" s="242" t="s">
        <v>288</v>
      </c>
      <c r="B102" s="242">
        <v>257</v>
      </c>
      <c r="C102" s="242">
        <v>4</v>
      </c>
      <c r="D102" s="242"/>
    </row>
    <row r="103" spans="1:4">
      <c r="A103" s="242" t="s">
        <v>290</v>
      </c>
      <c r="B103" s="242">
        <v>385</v>
      </c>
      <c r="C103" s="242">
        <v>4</v>
      </c>
      <c r="D103" s="242"/>
    </row>
    <row r="104" spans="1:4">
      <c r="A104" s="242"/>
      <c r="B104" s="241">
        <f>SUM(B100:B103)</f>
        <v>1098</v>
      </c>
      <c r="C104" s="241">
        <f>SUM(C100:C103)</f>
        <v>16</v>
      </c>
      <c r="D104" s="24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5C1E-8819-4852-B7F8-F1D2076C7694}">
  <dimension ref="A2:F49"/>
  <sheetViews>
    <sheetView workbookViewId="0">
      <selection activeCell="A12" sqref="A12"/>
    </sheetView>
  </sheetViews>
  <sheetFormatPr defaultRowHeight="15"/>
  <cols>
    <col min="1" max="1" width="37.7109375" style="179" bestFit="1" customWidth="1"/>
    <col min="2" max="2" width="19.140625" style="179" bestFit="1" customWidth="1"/>
    <col min="3" max="3" width="47.28515625" style="179" bestFit="1" customWidth="1"/>
    <col min="4" max="4" width="9.140625" style="179"/>
    <col min="5" max="5" width="10.85546875" style="179" bestFit="1" customWidth="1"/>
    <col min="6" max="16384" width="9.140625" style="179"/>
  </cols>
  <sheetData>
    <row r="2" spans="1:6">
      <c r="A2" s="179" t="s">
        <v>32</v>
      </c>
    </row>
    <row r="3" spans="1:6" ht="45.75">
      <c r="A3" s="185"/>
      <c r="B3" s="190" t="s">
        <v>215</v>
      </c>
      <c r="C3" s="191" t="s">
        <v>216</v>
      </c>
      <c r="D3" s="192" t="s">
        <v>217</v>
      </c>
      <c r="E3" s="193" t="s">
        <v>218</v>
      </c>
    </row>
    <row r="4" spans="1:6">
      <c r="A4" s="194" t="s">
        <v>219</v>
      </c>
      <c r="B4" s="186"/>
      <c r="C4" s="187"/>
      <c r="D4" s="188"/>
      <c r="E4" s="189"/>
    </row>
    <row r="5" spans="1:6">
      <c r="A5" s="180" t="s">
        <v>220</v>
      </c>
      <c r="B5" s="181" t="s">
        <v>145</v>
      </c>
      <c r="C5" s="182" t="s">
        <v>901</v>
      </c>
      <c r="D5" s="183" t="s">
        <v>78</v>
      </c>
      <c r="E5" s="184">
        <v>31</v>
      </c>
      <c r="F5" s="179" t="s">
        <v>902</v>
      </c>
    </row>
    <row r="6" spans="1:6" ht="30.75">
      <c r="A6" s="180" t="s">
        <v>226</v>
      </c>
      <c r="B6" s="181" t="s">
        <v>145</v>
      </c>
      <c r="C6" s="195" t="s">
        <v>903</v>
      </c>
      <c r="D6" s="196" t="s">
        <v>78</v>
      </c>
      <c r="E6" s="184">
        <v>106</v>
      </c>
      <c r="F6" s="179" t="s">
        <v>904</v>
      </c>
    </row>
    <row r="7" spans="1:6" ht="30.75">
      <c r="A7" s="180" t="s">
        <v>232</v>
      </c>
      <c r="B7" s="181" t="s">
        <v>145</v>
      </c>
      <c r="C7" s="195" t="s">
        <v>903</v>
      </c>
      <c r="D7" s="196" t="s">
        <v>78</v>
      </c>
      <c r="E7" s="184">
        <v>106</v>
      </c>
      <c r="F7" s="179" t="s">
        <v>905</v>
      </c>
    </row>
    <row r="8" spans="1:6">
      <c r="A8" s="180"/>
      <c r="B8" s="181"/>
      <c r="C8" s="182"/>
      <c r="D8" s="183"/>
      <c r="E8" s="184"/>
    </row>
    <row r="9" spans="1:6">
      <c r="A9" s="194" t="s">
        <v>234</v>
      </c>
      <c r="B9" s="181"/>
      <c r="C9" s="182"/>
      <c r="D9" s="183"/>
      <c r="E9" s="184"/>
    </row>
    <row r="10" spans="1:6">
      <c r="A10" s="180" t="s">
        <v>303</v>
      </c>
      <c r="B10" s="181" t="s">
        <v>124</v>
      </c>
      <c r="C10" s="182" t="s">
        <v>906</v>
      </c>
      <c r="D10" s="183" t="s">
        <v>78</v>
      </c>
      <c r="E10" s="184">
        <v>116</v>
      </c>
      <c r="F10" s="179" t="s">
        <v>907</v>
      </c>
    </row>
    <row r="11" spans="1:6">
      <c r="A11" s="180" t="s">
        <v>305</v>
      </c>
      <c r="B11" s="181" t="s">
        <v>124</v>
      </c>
      <c r="C11" s="182" t="s">
        <v>9</v>
      </c>
      <c r="D11" s="183" t="s">
        <v>152</v>
      </c>
      <c r="E11" s="184">
        <v>30</v>
      </c>
    </row>
    <row r="12" spans="1:6">
      <c r="A12" s="180" t="s">
        <v>310</v>
      </c>
      <c r="B12" s="181" t="s">
        <v>145</v>
      </c>
      <c r="C12" s="182" t="s">
        <v>797</v>
      </c>
      <c r="D12" s="183" t="s">
        <v>78</v>
      </c>
      <c r="E12" s="184">
        <v>52</v>
      </c>
      <c r="F12" s="179" t="s">
        <v>908</v>
      </c>
    </row>
    <row r="13" spans="1:6">
      <c r="A13" s="180" t="s">
        <v>235</v>
      </c>
      <c r="B13" s="181" t="s">
        <v>162</v>
      </c>
      <c r="C13" s="182" t="s">
        <v>238</v>
      </c>
      <c r="D13" s="183" t="s">
        <v>152</v>
      </c>
      <c r="E13" s="184">
        <v>60</v>
      </c>
    </row>
    <row r="14" spans="1:6">
      <c r="A14" s="175"/>
      <c r="B14" s="176"/>
      <c r="C14" s="177"/>
      <c r="D14" s="174"/>
      <c r="E14" s="178"/>
    </row>
    <row r="15" spans="1:6">
      <c r="A15" s="194" t="s">
        <v>242</v>
      </c>
      <c r="B15" s="181"/>
      <c r="C15" s="182"/>
      <c r="D15" s="183"/>
      <c r="E15" s="184">
        <f>SUM(E5:E14)</f>
        <v>501</v>
      </c>
    </row>
    <row r="16" spans="1:6">
      <c r="A16" s="194" t="s">
        <v>243</v>
      </c>
      <c r="B16" s="181"/>
      <c r="C16" s="182"/>
      <c r="D16" s="183"/>
      <c r="E16" s="184">
        <v>7</v>
      </c>
    </row>
    <row r="17" spans="1:6" ht="45.75">
      <c r="A17" s="185"/>
      <c r="B17" s="190" t="s">
        <v>215</v>
      </c>
      <c r="C17" s="191" t="s">
        <v>216</v>
      </c>
      <c r="D17" s="192" t="s">
        <v>217</v>
      </c>
      <c r="E17" s="193" t="s">
        <v>218</v>
      </c>
    </row>
    <row r="18" spans="1:6">
      <c r="A18" s="194" t="s">
        <v>219</v>
      </c>
      <c r="B18" s="186"/>
      <c r="C18" s="187"/>
      <c r="D18" s="188"/>
      <c r="E18" s="189"/>
    </row>
    <row r="19" spans="1:6" ht="60.75">
      <c r="A19" s="197" t="s">
        <v>259</v>
      </c>
      <c r="B19" s="181" t="s">
        <v>145</v>
      </c>
      <c r="C19" s="182" t="s">
        <v>909</v>
      </c>
      <c r="D19" s="183" t="s">
        <v>78</v>
      </c>
      <c r="E19" s="184">
        <v>245</v>
      </c>
    </row>
    <row r="20" spans="1:6" ht="45.75">
      <c r="A20" s="197" t="s">
        <v>261</v>
      </c>
      <c r="B20" s="181" t="s">
        <v>145</v>
      </c>
      <c r="C20" s="195" t="s">
        <v>910</v>
      </c>
      <c r="D20" s="196" t="s">
        <v>78</v>
      </c>
      <c r="E20" s="184">
        <v>250</v>
      </c>
    </row>
    <row r="21" spans="1:6">
      <c r="A21" s="194" t="s">
        <v>242</v>
      </c>
      <c r="B21" s="181"/>
      <c r="C21" s="182"/>
      <c r="D21" s="183"/>
      <c r="E21" s="184">
        <f>SUM(E19:E20)</f>
        <v>495</v>
      </c>
    </row>
    <row r="22" spans="1:6">
      <c r="A22" s="194" t="s">
        <v>243</v>
      </c>
      <c r="B22" s="181"/>
      <c r="C22" s="182"/>
      <c r="D22" s="183"/>
      <c r="E22" s="184">
        <v>2</v>
      </c>
    </row>
    <row r="23" spans="1:6" ht="45.75">
      <c r="A23" s="185"/>
      <c r="B23" s="190" t="s">
        <v>215</v>
      </c>
      <c r="C23" s="191" t="s">
        <v>216</v>
      </c>
      <c r="D23" s="192" t="s">
        <v>217</v>
      </c>
      <c r="E23" s="193" t="s">
        <v>218</v>
      </c>
    </row>
    <row r="24" spans="1:6">
      <c r="A24" s="194" t="s">
        <v>219</v>
      </c>
      <c r="B24" s="186"/>
      <c r="C24" s="187"/>
      <c r="D24" s="188"/>
      <c r="E24" s="189"/>
    </row>
    <row r="25" spans="1:6">
      <c r="A25" s="180" t="s">
        <v>220</v>
      </c>
      <c r="B25" s="181" t="s">
        <v>162</v>
      </c>
      <c r="C25" s="182" t="s">
        <v>911</v>
      </c>
      <c r="D25" s="183" t="s">
        <v>152</v>
      </c>
      <c r="E25" s="184">
        <v>31</v>
      </c>
      <c r="F25" s="179" t="s">
        <v>912</v>
      </c>
    </row>
    <row r="26" spans="1:6">
      <c r="A26" s="198" t="s">
        <v>252</v>
      </c>
      <c r="B26" s="181" t="s">
        <v>162</v>
      </c>
      <c r="C26" s="195" t="s">
        <v>913</v>
      </c>
      <c r="D26" s="196" t="s">
        <v>78</v>
      </c>
      <c r="E26" s="184">
        <v>74</v>
      </c>
    </row>
    <row r="27" spans="1:6">
      <c r="A27" s="198" t="s">
        <v>254</v>
      </c>
      <c r="B27" s="181" t="s">
        <v>145</v>
      </c>
      <c r="C27" s="195" t="s">
        <v>913</v>
      </c>
      <c r="D27" s="196" t="s">
        <v>78</v>
      </c>
      <c r="E27" s="184">
        <v>74</v>
      </c>
    </row>
    <row r="28" spans="1:6">
      <c r="A28" s="180"/>
      <c r="B28" s="181"/>
      <c r="C28" s="182"/>
      <c r="D28" s="183"/>
      <c r="E28" s="184"/>
    </row>
    <row r="29" spans="1:6">
      <c r="A29" s="194" t="s">
        <v>234</v>
      </c>
      <c r="B29" s="181"/>
      <c r="C29" s="182"/>
      <c r="D29" s="183"/>
      <c r="E29" s="184"/>
    </row>
    <row r="30" spans="1:6">
      <c r="A30" s="198" t="s">
        <v>256</v>
      </c>
      <c r="B30" s="181" t="s">
        <v>145</v>
      </c>
      <c r="C30" s="195" t="s">
        <v>913</v>
      </c>
      <c r="D30" s="196" t="s">
        <v>78</v>
      </c>
      <c r="E30" s="184">
        <v>74</v>
      </c>
    </row>
    <row r="31" spans="1:6">
      <c r="A31" s="194" t="s">
        <v>242</v>
      </c>
      <c r="B31" s="181"/>
      <c r="C31" s="182"/>
      <c r="D31" s="183"/>
      <c r="E31" s="184">
        <f>SUM(E25:E30)</f>
        <v>253</v>
      </c>
    </row>
    <row r="32" spans="1:6">
      <c r="A32" s="194" t="s">
        <v>243</v>
      </c>
      <c r="B32" s="181"/>
      <c r="C32" s="182"/>
      <c r="D32" s="183"/>
      <c r="E32" s="184">
        <v>4</v>
      </c>
    </row>
    <row r="35" spans="1:3">
      <c r="A35" s="200"/>
      <c r="B35" s="201"/>
      <c r="C35" s="202" t="s">
        <v>274</v>
      </c>
    </row>
    <row r="36" spans="1:3">
      <c r="A36" s="194" t="s">
        <v>817</v>
      </c>
      <c r="B36" s="181"/>
      <c r="C36" s="182"/>
    </row>
    <row r="37" spans="1:3">
      <c r="A37" s="194" t="s">
        <v>529</v>
      </c>
      <c r="B37" s="181"/>
      <c r="C37" s="182"/>
    </row>
    <row r="38" spans="1:3">
      <c r="A38" s="194" t="s">
        <v>821</v>
      </c>
      <c r="B38" s="181"/>
      <c r="C38" s="182"/>
    </row>
    <row r="39" spans="1:3">
      <c r="A39" s="194" t="s">
        <v>282</v>
      </c>
      <c r="B39" s="181" t="s">
        <v>32</v>
      </c>
      <c r="C39" s="182"/>
    </row>
    <row r="40" spans="1:3">
      <c r="A40" s="194"/>
      <c r="B40" s="181"/>
      <c r="C40" s="182"/>
    </row>
    <row r="41" spans="1:3">
      <c r="A41" s="203" t="s">
        <v>284</v>
      </c>
      <c r="B41" s="203"/>
      <c r="C41" s="203"/>
    </row>
    <row r="42" spans="1:3">
      <c r="A42" s="203"/>
      <c r="B42" s="203" t="s">
        <v>285</v>
      </c>
      <c r="C42" s="203" t="s">
        <v>15</v>
      </c>
    </row>
    <row r="43" spans="1:3">
      <c r="A43" s="204" t="s">
        <v>393</v>
      </c>
      <c r="B43" s="204"/>
      <c r="C43" s="204"/>
    </row>
    <row r="44" spans="1:3">
      <c r="A44" s="205" t="s">
        <v>286</v>
      </c>
      <c r="B44" s="205">
        <f>E15</f>
        <v>501</v>
      </c>
      <c r="C44" s="205"/>
    </row>
    <row r="45" spans="1:3">
      <c r="A45" s="205" t="s">
        <v>289</v>
      </c>
      <c r="B45" s="205">
        <f>E31</f>
        <v>253</v>
      </c>
      <c r="C45" s="205"/>
    </row>
    <row r="46" spans="1:3">
      <c r="A46" s="204" t="s">
        <v>290</v>
      </c>
      <c r="B46" s="205">
        <f>E21</f>
        <v>495</v>
      </c>
      <c r="C46" s="205"/>
    </row>
    <row r="47" spans="1:3">
      <c r="A47" s="204" t="s">
        <v>400</v>
      </c>
      <c r="B47" s="205"/>
      <c r="C47" s="205"/>
    </row>
    <row r="48" spans="1:3">
      <c r="A48" s="204" t="s">
        <v>400</v>
      </c>
      <c r="B48" s="205"/>
      <c r="C48" s="205"/>
    </row>
    <row r="49" spans="1:3">
      <c r="A49" s="205"/>
      <c r="B49" s="203">
        <f>SUM(B43:B48)</f>
        <v>1249</v>
      </c>
      <c r="C49" s="20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DD9F-3816-4E05-8C14-2CC4D5EA5C33}">
  <dimension ref="A2:E59"/>
  <sheetViews>
    <sheetView workbookViewId="0">
      <selection activeCell="A5" sqref="A5"/>
    </sheetView>
  </sheetViews>
  <sheetFormatPr defaultRowHeight="15"/>
  <cols>
    <col min="1" max="1" width="35.42578125" style="179" bestFit="1" customWidth="1"/>
    <col min="2" max="2" width="9.140625" style="179"/>
    <col min="3" max="3" width="33.5703125" style="179" bestFit="1" customWidth="1"/>
    <col min="4" max="16384" width="9.140625" style="179"/>
  </cols>
  <sheetData>
    <row r="2" spans="1:5">
      <c r="A2" s="179" t="s">
        <v>33</v>
      </c>
    </row>
    <row r="3" spans="1:5" ht="45.75">
      <c r="A3" s="185"/>
      <c r="B3" s="190" t="s">
        <v>215</v>
      </c>
      <c r="C3" s="191" t="s">
        <v>216</v>
      </c>
      <c r="D3" s="192" t="s">
        <v>217</v>
      </c>
      <c r="E3" s="193" t="s">
        <v>218</v>
      </c>
    </row>
    <row r="4" spans="1:5">
      <c r="A4" s="194" t="s">
        <v>219</v>
      </c>
      <c r="B4" s="186"/>
      <c r="C4" s="187"/>
      <c r="D4" s="188"/>
      <c r="E4" s="189"/>
    </row>
    <row r="5" spans="1:5">
      <c r="A5" s="180" t="s">
        <v>220</v>
      </c>
      <c r="B5" s="181" t="s">
        <v>145</v>
      </c>
      <c r="C5" s="182" t="s">
        <v>914</v>
      </c>
      <c r="D5" s="183"/>
      <c r="E5" s="184">
        <v>50</v>
      </c>
    </row>
    <row r="6" spans="1:5" ht="30.75">
      <c r="A6" s="180" t="s">
        <v>226</v>
      </c>
      <c r="B6" s="181" t="s">
        <v>162</v>
      </c>
      <c r="C6" s="195" t="s">
        <v>915</v>
      </c>
      <c r="D6" s="196"/>
      <c r="E6" s="184">
        <v>135</v>
      </c>
    </row>
    <row r="7" spans="1:5" ht="30.75">
      <c r="A7" s="180" t="s">
        <v>232</v>
      </c>
      <c r="B7" s="181" t="s">
        <v>162</v>
      </c>
      <c r="C7" s="195" t="s">
        <v>915</v>
      </c>
      <c r="D7" s="196"/>
      <c r="E7" s="184">
        <v>135</v>
      </c>
    </row>
    <row r="8" spans="1:5">
      <c r="A8" s="180"/>
      <c r="B8" s="181"/>
      <c r="C8" s="182"/>
      <c r="D8" s="183"/>
      <c r="E8" s="184"/>
    </row>
    <row r="9" spans="1:5">
      <c r="A9" s="194" t="s">
        <v>234</v>
      </c>
      <c r="B9" s="181"/>
      <c r="C9" s="182"/>
      <c r="D9" s="183"/>
      <c r="E9" s="184"/>
    </row>
    <row r="10" spans="1:5" ht="30.75">
      <c r="A10" s="180" t="s">
        <v>303</v>
      </c>
      <c r="B10" s="181" t="s">
        <v>162</v>
      </c>
      <c r="C10" s="195" t="s">
        <v>915</v>
      </c>
      <c r="D10" s="196"/>
      <c r="E10" s="184">
        <v>135</v>
      </c>
    </row>
    <row r="11" spans="1:5" ht="30.75">
      <c r="A11" s="180" t="s">
        <v>303</v>
      </c>
      <c r="B11" s="181" t="s">
        <v>124</v>
      </c>
      <c r="C11" s="195" t="s">
        <v>916</v>
      </c>
      <c r="D11" s="183"/>
      <c r="E11" s="184">
        <v>119</v>
      </c>
    </row>
    <row r="12" spans="1:5">
      <c r="A12" s="180" t="s">
        <v>305</v>
      </c>
      <c r="B12" s="181"/>
      <c r="C12" s="182"/>
      <c r="D12" s="183"/>
      <c r="E12" s="184"/>
    </row>
    <row r="13" spans="1:5">
      <c r="A13" s="180" t="s">
        <v>306</v>
      </c>
      <c r="B13" s="181"/>
      <c r="C13" s="182"/>
      <c r="D13" s="183"/>
      <c r="E13" s="184"/>
    </row>
    <row r="14" spans="1:5">
      <c r="A14" s="180" t="s">
        <v>309</v>
      </c>
      <c r="B14" s="181" t="s">
        <v>162</v>
      </c>
      <c r="C14" s="182" t="s">
        <v>917</v>
      </c>
      <c r="D14" s="183"/>
      <c r="E14" s="184">
        <v>35</v>
      </c>
    </row>
    <row r="15" spans="1:5">
      <c r="A15" s="180" t="s">
        <v>309</v>
      </c>
      <c r="B15" s="181" t="s">
        <v>162</v>
      </c>
      <c r="C15" s="182" t="s">
        <v>917</v>
      </c>
      <c r="D15" s="183"/>
      <c r="E15" s="184">
        <v>35</v>
      </c>
    </row>
    <row r="16" spans="1:5">
      <c r="A16" s="180" t="s">
        <v>310</v>
      </c>
      <c r="B16" s="181" t="s">
        <v>162</v>
      </c>
      <c r="C16" s="182" t="s">
        <v>11</v>
      </c>
      <c r="D16" s="183"/>
      <c r="E16" s="184">
        <v>52</v>
      </c>
    </row>
    <row r="17" spans="1:5">
      <c r="A17" s="180" t="s">
        <v>235</v>
      </c>
      <c r="B17" s="181" t="s">
        <v>162</v>
      </c>
      <c r="C17" s="182" t="s">
        <v>918</v>
      </c>
      <c r="D17" s="183"/>
      <c r="E17" s="184">
        <v>20</v>
      </c>
    </row>
    <row r="18" spans="1:5">
      <c r="A18" s="194" t="s">
        <v>242</v>
      </c>
      <c r="B18" s="181"/>
      <c r="C18" s="182"/>
      <c r="D18" s="183"/>
      <c r="E18" s="184">
        <f>SUM(E5:E17)</f>
        <v>716</v>
      </c>
    </row>
    <row r="19" spans="1:5">
      <c r="A19" s="194" t="s">
        <v>243</v>
      </c>
      <c r="B19" s="181"/>
      <c r="C19" s="182"/>
      <c r="D19" s="183"/>
      <c r="E19" s="184">
        <v>9</v>
      </c>
    </row>
    <row r="21" spans="1:5" ht="45.75">
      <c r="A21" s="185"/>
      <c r="B21" s="190" t="s">
        <v>215</v>
      </c>
      <c r="C21" s="191" t="s">
        <v>216</v>
      </c>
      <c r="D21" s="192" t="s">
        <v>217</v>
      </c>
      <c r="E21" s="193" t="s">
        <v>218</v>
      </c>
    </row>
    <row r="22" spans="1:5">
      <c r="A22" s="194" t="s">
        <v>219</v>
      </c>
      <c r="B22" s="186"/>
      <c r="C22" s="187"/>
      <c r="D22" s="188"/>
      <c r="E22" s="189"/>
    </row>
    <row r="23" spans="1:5">
      <c r="A23" s="180" t="s">
        <v>220</v>
      </c>
      <c r="B23" s="181" t="s">
        <v>145</v>
      </c>
      <c r="C23" s="182" t="s">
        <v>919</v>
      </c>
      <c r="D23" s="183"/>
      <c r="E23" s="184">
        <v>30</v>
      </c>
    </row>
    <row r="24" spans="1:5">
      <c r="A24" s="180" t="s">
        <v>250</v>
      </c>
      <c r="B24" s="181" t="s">
        <v>162</v>
      </c>
      <c r="C24" s="181" t="s">
        <v>920</v>
      </c>
      <c r="D24" s="196"/>
      <c r="E24" s="184">
        <v>50</v>
      </c>
    </row>
    <row r="25" spans="1:5">
      <c r="A25" s="180"/>
      <c r="B25" s="181"/>
      <c r="C25" s="182"/>
      <c r="D25" s="183"/>
      <c r="E25" s="184"/>
    </row>
    <row r="26" spans="1:5">
      <c r="A26" s="194" t="s">
        <v>234</v>
      </c>
      <c r="B26" s="181"/>
      <c r="C26" s="182"/>
      <c r="D26" s="183"/>
      <c r="E26" s="184"/>
    </row>
    <row r="27" spans="1:5">
      <c r="A27" s="180" t="s">
        <v>250</v>
      </c>
      <c r="B27" s="181" t="s">
        <v>145</v>
      </c>
      <c r="C27" s="181" t="s">
        <v>920</v>
      </c>
      <c r="D27" s="196"/>
      <c r="E27" s="184">
        <v>50</v>
      </c>
    </row>
    <row r="28" spans="1:5">
      <c r="A28" s="180" t="s">
        <v>250</v>
      </c>
      <c r="B28" s="181" t="s">
        <v>145</v>
      </c>
      <c r="C28" s="181" t="s">
        <v>920</v>
      </c>
      <c r="D28" s="196"/>
      <c r="E28" s="184">
        <v>50</v>
      </c>
    </row>
    <row r="29" spans="1:5">
      <c r="A29" s="194" t="s">
        <v>242</v>
      </c>
      <c r="B29" s="181"/>
      <c r="C29" s="182"/>
      <c r="D29" s="183"/>
      <c r="E29" s="184">
        <f>SUM(E22:E28)</f>
        <v>180</v>
      </c>
    </row>
    <row r="30" spans="1:5">
      <c r="A30" s="194" t="s">
        <v>243</v>
      </c>
      <c r="B30" s="181"/>
      <c r="C30" s="182"/>
      <c r="D30" s="183"/>
      <c r="E30" s="184">
        <v>4</v>
      </c>
    </row>
    <row r="31" spans="1:5" ht="45.75">
      <c r="A31" s="185"/>
      <c r="B31" s="190" t="s">
        <v>215</v>
      </c>
      <c r="C31" s="191" t="s">
        <v>216</v>
      </c>
      <c r="D31" s="192" t="s">
        <v>217</v>
      </c>
      <c r="E31" s="193" t="s">
        <v>218</v>
      </c>
    </row>
    <row r="32" spans="1:5">
      <c r="A32" s="194" t="s">
        <v>219</v>
      </c>
      <c r="B32" s="186"/>
      <c r="C32" s="187"/>
      <c r="D32" s="188"/>
      <c r="E32" s="189"/>
    </row>
    <row r="33" spans="1:5">
      <c r="A33" s="180" t="s">
        <v>220</v>
      </c>
      <c r="B33" s="181" t="s">
        <v>162</v>
      </c>
      <c r="C33" s="182" t="s">
        <v>921</v>
      </c>
      <c r="D33" s="183" t="s">
        <v>152</v>
      </c>
      <c r="E33" s="184">
        <v>31</v>
      </c>
    </row>
    <row r="34" spans="1:5">
      <c r="A34" s="198" t="s">
        <v>252</v>
      </c>
      <c r="B34" s="181" t="s">
        <v>162</v>
      </c>
      <c r="C34" s="195" t="s">
        <v>922</v>
      </c>
      <c r="D34" s="196" t="s">
        <v>78</v>
      </c>
      <c r="E34" s="184">
        <v>55</v>
      </c>
    </row>
    <row r="35" spans="1:5">
      <c r="A35" s="198" t="s">
        <v>254</v>
      </c>
      <c r="B35" s="181" t="s">
        <v>145</v>
      </c>
      <c r="C35" s="195" t="s">
        <v>922</v>
      </c>
      <c r="D35" s="196" t="s">
        <v>78</v>
      </c>
      <c r="E35" s="184">
        <v>55</v>
      </c>
    </row>
    <row r="36" spans="1:5">
      <c r="A36" s="180"/>
      <c r="B36" s="181"/>
      <c r="C36" s="182"/>
      <c r="D36" s="183"/>
      <c r="E36" s="184"/>
    </row>
    <row r="37" spans="1:5">
      <c r="A37" s="194" t="s">
        <v>234</v>
      </c>
      <c r="B37" s="181"/>
      <c r="C37" s="182"/>
      <c r="D37" s="183"/>
      <c r="E37" s="184"/>
    </row>
    <row r="38" spans="1:5">
      <c r="A38" s="198" t="s">
        <v>256</v>
      </c>
      <c r="B38" s="181" t="s">
        <v>145</v>
      </c>
      <c r="C38" s="195" t="s">
        <v>922</v>
      </c>
      <c r="D38" s="196" t="s">
        <v>78</v>
      </c>
      <c r="E38" s="184">
        <v>55</v>
      </c>
    </row>
    <row r="39" spans="1:5">
      <c r="A39" s="198" t="s">
        <v>256</v>
      </c>
      <c r="B39" s="181" t="s">
        <v>145</v>
      </c>
      <c r="C39" s="195" t="s">
        <v>923</v>
      </c>
      <c r="D39" s="196" t="s">
        <v>78</v>
      </c>
      <c r="E39" s="184">
        <v>45</v>
      </c>
    </row>
    <row r="40" spans="1:5">
      <c r="A40" s="198" t="s">
        <v>256</v>
      </c>
      <c r="B40" s="181" t="s">
        <v>162</v>
      </c>
      <c r="C40" s="182" t="s">
        <v>918</v>
      </c>
      <c r="D40" s="183" t="s">
        <v>152</v>
      </c>
      <c r="E40" s="184">
        <v>20</v>
      </c>
    </row>
    <row r="41" spans="1:5">
      <c r="A41" s="180" t="s">
        <v>256</v>
      </c>
      <c r="B41" s="181" t="s">
        <v>162</v>
      </c>
      <c r="C41" s="182" t="s">
        <v>918</v>
      </c>
      <c r="D41" s="183" t="s">
        <v>152</v>
      </c>
      <c r="E41" s="184">
        <v>20</v>
      </c>
    </row>
    <row r="42" spans="1:5">
      <c r="A42" s="180" t="s">
        <v>256</v>
      </c>
      <c r="B42" s="181" t="s">
        <v>162</v>
      </c>
      <c r="C42" s="182" t="s">
        <v>918</v>
      </c>
      <c r="D42" s="183" t="s">
        <v>152</v>
      </c>
      <c r="E42" s="184">
        <v>20</v>
      </c>
    </row>
    <row r="43" spans="1:5">
      <c r="A43" s="180" t="s">
        <v>256</v>
      </c>
      <c r="B43" s="199" t="s">
        <v>162</v>
      </c>
      <c r="C43" s="182" t="s">
        <v>924</v>
      </c>
      <c r="D43" s="183" t="s">
        <v>152</v>
      </c>
      <c r="E43" s="184">
        <v>50</v>
      </c>
    </row>
    <row r="44" spans="1:5">
      <c r="A44" s="180" t="s">
        <v>271</v>
      </c>
      <c r="B44" s="181"/>
      <c r="C44" s="182"/>
      <c r="D44" s="183"/>
      <c r="E44" s="184"/>
    </row>
    <row r="45" spans="1:5">
      <c r="A45" s="194" t="s">
        <v>242</v>
      </c>
      <c r="B45" s="181"/>
      <c r="C45" s="182"/>
      <c r="D45" s="183"/>
      <c r="E45" s="184">
        <f>SUM(E33:E44)</f>
        <v>351</v>
      </c>
    </row>
    <row r="46" spans="1:5">
      <c r="A46" s="194" t="s">
        <v>243</v>
      </c>
      <c r="B46" s="181"/>
      <c r="C46" s="182"/>
      <c r="D46" s="183"/>
      <c r="E46" s="184">
        <v>9</v>
      </c>
    </row>
    <row r="47" spans="1:5">
      <c r="A47" s="200"/>
      <c r="B47" s="201"/>
      <c r="C47" s="202" t="s">
        <v>274</v>
      </c>
    </row>
    <row r="48" spans="1:5">
      <c r="A48" s="194" t="s">
        <v>817</v>
      </c>
      <c r="B48" s="181"/>
      <c r="C48" s="182"/>
    </row>
    <row r="49" spans="1:3">
      <c r="A49" s="194" t="s">
        <v>529</v>
      </c>
      <c r="B49" s="181"/>
      <c r="C49" s="182"/>
    </row>
    <row r="50" spans="1:3">
      <c r="A50" s="194" t="s">
        <v>821</v>
      </c>
      <c r="B50" s="181"/>
      <c r="C50" s="182"/>
    </row>
    <row r="51" spans="1:3">
      <c r="A51" s="194" t="s">
        <v>282</v>
      </c>
      <c r="B51" s="181" t="s">
        <v>33</v>
      </c>
      <c r="C51" s="182"/>
    </row>
    <row r="52" spans="1:3">
      <c r="A52" s="194"/>
      <c r="B52" s="181"/>
      <c r="C52" s="182"/>
    </row>
    <row r="53" spans="1:3">
      <c r="A53" s="203" t="s">
        <v>284</v>
      </c>
      <c r="B53" s="203"/>
      <c r="C53" s="203"/>
    </row>
    <row r="54" spans="1:3">
      <c r="A54" s="203"/>
      <c r="B54" s="203" t="s">
        <v>285</v>
      </c>
      <c r="C54" s="203" t="s">
        <v>15</v>
      </c>
    </row>
    <row r="55" spans="1:3">
      <c r="A55" s="204" t="s">
        <v>393</v>
      </c>
      <c r="B55" s="204"/>
      <c r="C55" s="204"/>
    </row>
    <row r="56" spans="1:3">
      <c r="A56" s="205" t="s">
        <v>286</v>
      </c>
      <c r="B56" s="205">
        <f>E18</f>
        <v>716</v>
      </c>
      <c r="C56" s="205">
        <f>E19</f>
        <v>9</v>
      </c>
    </row>
    <row r="57" spans="1:3">
      <c r="A57" s="205" t="s">
        <v>289</v>
      </c>
      <c r="B57" s="205">
        <f>E45</f>
        <v>351</v>
      </c>
      <c r="C57" s="205">
        <f>E46</f>
        <v>9</v>
      </c>
    </row>
    <row r="58" spans="1:3">
      <c r="A58" s="204" t="s">
        <v>288</v>
      </c>
      <c r="B58" s="205">
        <f>E29</f>
        <v>180</v>
      </c>
      <c r="C58" s="205">
        <f>E30</f>
        <v>4</v>
      </c>
    </row>
    <row r="59" spans="1:3">
      <c r="A59" s="205"/>
      <c r="B59" s="203">
        <f>SUM(B55:B58)</f>
        <v>1247</v>
      </c>
      <c r="C59" s="203">
        <f>SUM(C55:C58)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Mr R Wright</cp:lastModifiedBy>
  <cp:revision/>
  <dcterms:created xsi:type="dcterms:W3CDTF">2024-02-29T06:46:26Z</dcterms:created>
  <dcterms:modified xsi:type="dcterms:W3CDTF">2024-10-30T10:12:14Z</dcterms:modified>
  <cp:category/>
  <cp:contentStatus/>
</cp:coreProperties>
</file>